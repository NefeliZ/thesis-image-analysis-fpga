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ysiko_apth\ptuxiaki\thesis-cases\test-img\3x3_window\"/>
    </mc:Choice>
  </mc:AlternateContent>
  <xr:revisionPtr revIDLastSave="0" documentId="13_ncr:1_{4324EB3C-940F-4BC6-977D-D948A69E03BA}" xr6:coauthVersionLast="47" xr6:coauthVersionMax="47" xr10:uidLastSave="{00000000-0000-0000-0000-000000000000}"/>
  <bookViews>
    <workbookView xWindow="-98" yWindow="-98" windowWidth="21795" windowHeight="12975" xr2:uid="{1A5AD2DC-DE0B-4FFA-AE19-FC07F326EFA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8" i="1" l="1"/>
  <c r="R8" i="1"/>
  <c r="Q8" i="1"/>
  <c r="P8" i="1"/>
</calcChain>
</file>

<file path=xl/sharedStrings.xml><?xml version="1.0" encoding="utf-8"?>
<sst xmlns="http://schemas.openxmlformats.org/spreadsheetml/2006/main" count="36" uniqueCount="35">
  <si>
    <t>sobel3x3_int_shift</t>
  </si>
  <si>
    <t>output text</t>
  </si>
  <si>
    <t>output image</t>
  </si>
  <si>
    <t>image metrics</t>
  </si>
  <si>
    <t>MSE</t>
  </si>
  <si>
    <t>RMSE</t>
  </si>
  <si>
    <t>SSIM</t>
  </si>
  <si>
    <t>max diff</t>
  </si>
  <si>
    <t>HW cost metrics</t>
  </si>
  <si>
    <t>Other metrics</t>
  </si>
  <si>
    <t>latency</t>
  </si>
  <si>
    <t>total cycles</t>
  </si>
  <si>
    <t>test_img (rainbow)</t>
  </si>
  <si>
    <t>og size</t>
  </si>
  <si>
    <t>50x50</t>
  </si>
  <si>
    <t>after padding</t>
  </si>
  <si>
    <t>52x52</t>
  </si>
  <si>
    <t>output_imgs</t>
  </si>
  <si>
    <t>LUTs</t>
  </si>
  <si>
    <t>FFs</t>
  </si>
  <si>
    <t>BRAMs</t>
  </si>
  <si>
    <t>DSPs</t>
  </si>
  <si>
    <t>WNS (ns)</t>
  </si>
  <si>
    <t>T-target (ns)</t>
  </si>
  <si>
    <t>Fmax (MHz)</t>
  </si>
  <si>
    <t>FPS</t>
  </si>
  <si>
    <t>Pixels per cycle</t>
  </si>
  <si>
    <t>total cycles per frame</t>
  </si>
  <si>
    <t>final width</t>
  </si>
  <si>
    <t>final Height</t>
  </si>
  <si>
    <t>Pixel Throughput (10^6 pixels/sec)</t>
  </si>
  <si>
    <t>verilog_out_sobel3x3_int_shift</t>
  </si>
  <si>
    <t>verilog_rec_sobel3x3_int_shift</t>
  </si>
  <si>
    <t>inf</t>
  </si>
  <si>
    <t>PSNR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</si>
</sst>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5027-CB40-48EE-B4E7-9AA397931008}">
  <dimension ref="A1:S8"/>
  <sheetViews>
    <sheetView tabSelected="1" workbookViewId="0">
      <selection activeCell="H11" sqref="H11"/>
    </sheetView>
  </sheetViews>
  <sheetFormatPr defaultRowHeight="14.4" x14ac:dyDescent="0.3"/>
  <cols>
    <col min="1" max="1" width="15" bestFit="1" customWidth="1"/>
    <col min="2" max="2" width="9.33203125" bestFit="1" customWidth="1"/>
    <col min="3" max="3" width="11.109375" bestFit="1" customWidth="1"/>
    <col min="7" max="7" width="10.5546875" bestFit="1" customWidth="1"/>
    <col min="15" max="15" width="10.5546875" bestFit="1" customWidth="1"/>
    <col min="16" max="16" width="19.109375" bestFit="1" customWidth="1"/>
    <col min="17" max="17" width="14.77734375" bestFit="1" customWidth="1"/>
    <col min="18" max="18" width="29.77734375" bestFit="1" customWidth="1"/>
    <col min="19" max="19" width="12" bestFit="1" customWidth="1"/>
  </cols>
  <sheetData>
    <row r="1" spans="1:19" x14ac:dyDescent="0.3">
      <c r="B1" t="s">
        <v>13</v>
      </c>
      <c r="C1" t="s">
        <v>15</v>
      </c>
      <c r="D1" t="s">
        <v>17</v>
      </c>
      <c r="E1" t="s">
        <v>28</v>
      </c>
      <c r="F1" t="s">
        <v>29</v>
      </c>
      <c r="J1" t="s">
        <v>23</v>
      </c>
      <c r="K1" t="s">
        <v>26</v>
      </c>
    </row>
    <row r="2" spans="1:19" s="1" customFormat="1" x14ac:dyDescent="0.3">
      <c r="A2" t="s">
        <v>12</v>
      </c>
      <c r="B2" s="1" t="s">
        <v>14</v>
      </c>
      <c r="C2" s="1" t="s">
        <v>16</v>
      </c>
      <c r="D2" s="1" t="s">
        <v>14</v>
      </c>
      <c r="E2" s="1">
        <v>50</v>
      </c>
      <c r="F2" s="1">
        <v>50</v>
      </c>
      <c r="J2" s="1">
        <v>10</v>
      </c>
      <c r="K2" s="1">
        <v>1</v>
      </c>
    </row>
    <row r="6" spans="1:19" x14ac:dyDescent="0.3">
      <c r="D6" s="2" t="s">
        <v>3</v>
      </c>
      <c r="E6" s="3"/>
      <c r="F6" s="3"/>
      <c r="G6" s="3"/>
      <c r="H6" s="3"/>
      <c r="I6" s="5" t="s">
        <v>8</v>
      </c>
      <c r="J6" s="5"/>
      <c r="K6" s="4"/>
      <c r="L6" s="4"/>
      <c r="M6" s="4"/>
      <c r="N6" s="6" t="s">
        <v>9</v>
      </c>
      <c r="O6" s="7"/>
      <c r="P6" s="7"/>
      <c r="Q6" s="7"/>
      <c r="R6" s="7"/>
      <c r="S6" s="7"/>
    </row>
    <row r="7" spans="1:19" x14ac:dyDescent="0.3">
      <c r="A7" s="1"/>
      <c r="B7" s="1" t="s">
        <v>1</v>
      </c>
      <c r="C7" s="1" t="s">
        <v>2</v>
      </c>
      <c r="D7" s="1" t="s">
        <v>7</v>
      </c>
      <c r="E7" s="1" t="s">
        <v>4</v>
      </c>
      <c r="F7" s="1" t="s">
        <v>5</v>
      </c>
      <c r="G7" s="1" t="s">
        <v>6</v>
      </c>
      <c r="H7" s="1" t="s">
        <v>34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10</v>
      </c>
      <c r="O7" s="1" t="s">
        <v>11</v>
      </c>
      <c r="P7" s="1" t="s">
        <v>27</v>
      </c>
      <c r="Q7" s="1" t="s">
        <v>24</v>
      </c>
      <c r="R7" s="1" t="s">
        <v>30</v>
      </c>
      <c r="S7" s="1" t="s">
        <v>25</v>
      </c>
    </row>
    <row r="8" spans="1:19" x14ac:dyDescent="0.3">
      <c r="A8" t="s">
        <v>0</v>
      </c>
      <c r="B8" t="s">
        <v>31</v>
      </c>
      <c r="C8" t="s">
        <v>32</v>
      </c>
      <c r="D8">
        <v>0</v>
      </c>
      <c r="E8">
        <v>0</v>
      </c>
      <c r="F8">
        <v>0</v>
      </c>
      <c r="G8">
        <v>1</v>
      </c>
      <c r="H8" t="s">
        <v>33</v>
      </c>
      <c r="I8">
        <v>535</v>
      </c>
      <c r="J8">
        <v>1044</v>
      </c>
      <c r="K8">
        <v>0</v>
      </c>
      <c r="L8">
        <v>0</v>
      </c>
      <c r="M8">
        <v>3.012</v>
      </c>
      <c r="N8">
        <v>109</v>
      </c>
      <c r="O8">
        <v>2706</v>
      </c>
      <c r="P8">
        <f>N8+(F2*E2)</f>
        <v>2609</v>
      </c>
      <c r="Q8">
        <f>1000/(J2-M8)</f>
        <v>143.10246136233545</v>
      </c>
      <c r="R8">
        <f>K2*Q8</f>
        <v>143.10246136233545</v>
      </c>
      <c r="S8">
        <f>Q8*10^6/P8</f>
        <v>54849.544408714239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Nefeli Zikou</dc:creator>
  <cp:lastModifiedBy>Nefeli Zikou</cp:lastModifiedBy>
  <dcterms:created xsi:type="dcterms:W3CDTF">2026-09-04T15:39:31Z</dcterms:created>
  <dcterms:modified xsi:type="dcterms:W3CDTF">2026-09-06T13:18:30Z</dcterms:modified>
</cp:coreProperties>
</file>