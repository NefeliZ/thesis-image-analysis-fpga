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ysiko_apth\ptuxiaki\thesis-cases\final_img\5x5\"/>
    </mc:Choice>
  </mc:AlternateContent>
  <xr:revisionPtr revIDLastSave="0" documentId="13_ncr:1_{A559F514-0057-4985-8CD1-971EB95ADEEE}" xr6:coauthVersionLast="47" xr6:coauthVersionMax="47" xr10:uidLastSave="{00000000-0000-0000-0000-000000000000}"/>
  <bookViews>
    <workbookView xWindow="-23280" yWindow="2784" windowWidth="23004" windowHeight="11976" xr2:uid="{1A5AD2DC-DE0B-4FFA-AE19-FC07F326E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2" i="1" l="1"/>
  <c r="P12" i="1"/>
  <c r="P11" i="1"/>
  <c r="P9" i="1"/>
  <c r="P8" i="1"/>
  <c r="Q15" i="1"/>
  <c r="P15" i="1"/>
  <c r="Q14" i="1"/>
  <c r="P14" i="1"/>
  <c r="Q11" i="1"/>
  <c r="S11" i="1" s="1"/>
  <c r="R11" i="1"/>
  <c r="Q9" i="1"/>
  <c r="Q8" i="1"/>
  <c r="R8" i="1" s="1"/>
  <c r="R12" i="1" l="1"/>
  <c r="S12" i="1"/>
  <c r="S15" i="1"/>
  <c r="R15" i="1"/>
  <c r="R14" i="1"/>
  <c r="S14" i="1"/>
  <c r="S9" i="1"/>
  <c r="R9" i="1"/>
  <c r="S8" i="1"/>
</calcChain>
</file>

<file path=xl/sharedStrings.xml><?xml version="1.0" encoding="utf-8"?>
<sst xmlns="http://schemas.openxmlformats.org/spreadsheetml/2006/main" count="52" uniqueCount="50">
  <si>
    <t>output text</t>
  </si>
  <si>
    <t>output image</t>
  </si>
  <si>
    <t>image metrics</t>
  </si>
  <si>
    <t>MSE</t>
  </si>
  <si>
    <t>RMSE</t>
  </si>
  <si>
    <t>SSIM</t>
  </si>
  <si>
    <t>max diff</t>
  </si>
  <si>
    <t>HW cost metrics</t>
  </si>
  <si>
    <t>Other metrics</t>
  </si>
  <si>
    <t>latency</t>
  </si>
  <si>
    <t>total cycles</t>
  </si>
  <si>
    <t>og size</t>
  </si>
  <si>
    <t>after padding</t>
  </si>
  <si>
    <t>output_imgs</t>
  </si>
  <si>
    <t>LUTs</t>
  </si>
  <si>
    <t>FFs</t>
  </si>
  <si>
    <t>BRAMs</t>
  </si>
  <si>
    <t>DSPs</t>
  </si>
  <si>
    <t>WNS (ns)</t>
  </si>
  <si>
    <t>T-target (ns)</t>
  </si>
  <si>
    <t>Fmax (MHz)</t>
  </si>
  <si>
    <t>FPS</t>
  </si>
  <si>
    <t>Pixels per cycle</t>
  </si>
  <si>
    <t>total cycles per frame</t>
  </si>
  <si>
    <t>final width</t>
  </si>
  <si>
    <t>final Height</t>
  </si>
  <si>
    <t>Pixel Throughput (10^6 pixels/sec)</t>
  </si>
  <si>
    <t>inf</t>
  </si>
  <si>
    <t>PSNR (db)</t>
  </si>
  <si>
    <t>smeagol_test_img</t>
  </si>
  <si>
    <t>364x483</t>
  </si>
  <si>
    <t>368x487</t>
  </si>
  <si>
    <t>sobel5x5_int_shift</t>
  </si>
  <si>
    <t>smeagol_verilog_out_sobel5x5_int_shift</t>
  </si>
  <si>
    <t>smeagol_verilog_rec_sobel5x5_int_shift</t>
  </si>
  <si>
    <t>sobel5x5_ieee</t>
  </si>
  <si>
    <t>smeagol_verilog_out_sobel5x5_ieee</t>
  </si>
  <si>
    <t>smeagol_verilog_rec_sobel5x5_ieee</t>
  </si>
  <si>
    <t>gaussblur5x5_int_shift</t>
  </si>
  <si>
    <t>smeagol_verilog_out_gaussblur5x5_int_shift</t>
  </si>
  <si>
    <t>smeagol_verilog_rec_gaussblur5x5_int_shift</t>
  </si>
  <si>
    <t>gaussblur5x5_ieee</t>
  </si>
  <si>
    <t>smeagol_verilog_out_gaussblur5x5_ieee</t>
  </si>
  <si>
    <t>smeagol_verilog_rec_gaussblur5x5_ieee</t>
  </si>
  <si>
    <t>cascade_5x5_int_shift</t>
  </si>
  <si>
    <t>smeagol_verilog_out_cascade_5x5_int_shift</t>
  </si>
  <si>
    <t>smeagol_verilog_rec_cascade_5x5_int_shift</t>
  </si>
  <si>
    <t>cascade_5x5_ieee</t>
  </si>
  <si>
    <t>smeagol_verilog_out_cascade_5x5_ieee</t>
  </si>
  <si>
    <t>smeagol_verilog_rec_cascade_5x5_ieee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</si>
</sst>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5027-CB40-48EE-B4E7-9AA397931008}">
  <dimension ref="A1:U15"/>
  <sheetViews>
    <sheetView tabSelected="1" topLeftCell="C1" zoomScale="85" zoomScaleNormal="85" workbookViewId="0">
      <selection activeCell="M16" sqref="M16"/>
    </sheetView>
  </sheetViews>
  <sheetFormatPr defaultRowHeight="14.25" x14ac:dyDescent="0.45"/>
  <cols>
    <col min="1" max="1" width="20.86328125" customWidth="1"/>
    <col min="2" max="2" width="9.33203125" bestFit="1" customWidth="1"/>
    <col min="3" max="3" width="11.1328125" bestFit="1" customWidth="1"/>
    <col min="7" max="7" width="10.53125" bestFit="1" customWidth="1"/>
    <col min="15" max="15" width="10.53125" bestFit="1" customWidth="1"/>
    <col min="16" max="16" width="19.1328125" bestFit="1" customWidth="1"/>
    <col min="17" max="17" width="14.796875" bestFit="1" customWidth="1"/>
    <col min="18" max="18" width="29.796875" bestFit="1" customWidth="1"/>
    <col min="19" max="19" width="12" bestFit="1" customWidth="1"/>
    <col min="20" max="20" width="11" bestFit="1" customWidth="1"/>
    <col min="21" max="21" width="14" bestFit="1" customWidth="1"/>
  </cols>
  <sheetData>
    <row r="1" spans="1:21" x14ac:dyDescent="0.45">
      <c r="B1" t="s">
        <v>11</v>
      </c>
      <c r="C1" t="s">
        <v>12</v>
      </c>
      <c r="D1" t="s">
        <v>13</v>
      </c>
      <c r="E1" t="s">
        <v>24</v>
      </c>
      <c r="F1" t="s">
        <v>25</v>
      </c>
    </row>
    <row r="2" spans="1:21" s="1" customFormat="1" x14ac:dyDescent="0.45">
      <c r="A2" t="s">
        <v>29</v>
      </c>
      <c r="B2" s="1" t="s">
        <v>30</v>
      </c>
      <c r="C2" s="1" t="s">
        <v>31</v>
      </c>
      <c r="D2" s="1" t="s">
        <v>30</v>
      </c>
      <c r="E2" s="1">
        <v>364</v>
      </c>
      <c r="F2" s="1">
        <v>483</v>
      </c>
    </row>
    <row r="6" spans="1:21" x14ac:dyDescent="0.45">
      <c r="D6" s="2" t="s">
        <v>2</v>
      </c>
      <c r="E6" s="3"/>
      <c r="F6" s="3"/>
      <c r="G6" s="3"/>
      <c r="H6" s="3"/>
      <c r="I6" s="5" t="s">
        <v>7</v>
      </c>
      <c r="J6" s="5"/>
      <c r="K6" s="4"/>
      <c r="L6" s="4"/>
      <c r="M6" s="6" t="s">
        <v>8</v>
      </c>
      <c r="N6" s="7"/>
      <c r="O6" s="7"/>
      <c r="P6" s="7"/>
      <c r="Q6" s="7"/>
      <c r="R6" s="7"/>
      <c r="S6" s="7"/>
      <c r="T6" s="8"/>
      <c r="U6" s="8"/>
    </row>
    <row r="7" spans="1:21" x14ac:dyDescent="0.45">
      <c r="A7" s="1"/>
      <c r="B7" s="1" t="s">
        <v>0</v>
      </c>
      <c r="C7" s="1" t="s">
        <v>1</v>
      </c>
      <c r="D7" s="1" t="s">
        <v>6</v>
      </c>
      <c r="E7" s="1" t="s">
        <v>3</v>
      </c>
      <c r="F7" s="1" t="s">
        <v>4</v>
      </c>
      <c r="G7" s="1" t="s">
        <v>5</v>
      </c>
      <c r="H7" s="1" t="s">
        <v>28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9</v>
      </c>
      <c r="O7" s="1" t="s">
        <v>10</v>
      </c>
      <c r="P7" s="1" t="s">
        <v>23</v>
      </c>
      <c r="Q7" s="1" t="s">
        <v>20</v>
      </c>
      <c r="R7" s="1" t="s">
        <v>26</v>
      </c>
      <c r="S7" s="1" t="s">
        <v>21</v>
      </c>
      <c r="T7" s="1" t="s">
        <v>19</v>
      </c>
      <c r="U7" s="1" t="s">
        <v>22</v>
      </c>
    </row>
    <row r="8" spans="1:21" x14ac:dyDescent="0.45">
      <c r="A8" t="s">
        <v>32</v>
      </c>
      <c r="B8" t="s">
        <v>33</v>
      </c>
      <c r="C8" t="s">
        <v>34</v>
      </c>
      <c r="D8">
        <v>0</v>
      </c>
      <c r="E8">
        <v>0</v>
      </c>
      <c r="F8">
        <v>0</v>
      </c>
      <c r="G8">
        <v>1</v>
      </c>
      <c r="H8" t="s">
        <v>27</v>
      </c>
      <c r="I8">
        <v>4685</v>
      </c>
      <c r="J8">
        <v>12173</v>
      </c>
      <c r="K8">
        <v>0</v>
      </c>
      <c r="L8">
        <v>0</v>
      </c>
      <c r="M8">
        <v>1.6479999999999999</v>
      </c>
      <c r="N8">
        <v>1479</v>
      </c>
      <c r="O8">
        <v>179218</v>
      </c>
      <c r="P8">
        <f>N8+($F$2*$E$2)</f>
        <v>177291</v>
      </c>
      <c r="Q8">
        <f>1000/(T8-M8)</f>
        <v>88.090204369274133</v>
      </c>
      <c r="R8">
        <f>U8*Q8</f>
        <v>88.090204369274133</v>
      </c>
      <c r="S8">
        <f>Q8*10^6/P8</f>
        <v>496.86788595740416</v>
      </c>
      <c r="T8">
        <v>13</v>
      </c>
      <c r="U8">
        <v>1</v>
      </c>
    </row>
    <row r="9" spans="1:21" x14ac:dyDescent="0.45">
      <c r="A9" t="s">
        <v>35</v>
      </c>
      <c r="B9" t="s">
        <v>36</v>
      </c>
      <c r="C9" t="s">
        <v>37</v>
      </c>
      <c r="D9">
        <v>0</v>
      </c>
      <c r="E9">
        <v>0</v>
      </c>
      <c r="F9">
        <v>0</v>
      </c>
      <c r="G9">
        <v>1</v>
      </c>
      <c r="H9" t="s">
        <v>27</v>
      </c>
      <c r="I9">
        <v>32508</v>
      </c>
      <c r="J9">
        <v>14574</v>
      </c>
      <c r="K9">
        <v>0</v>
      </c>
      <c r="L9">
        <v>68</v>
      </c>
      <c r="M9">
        <v>0.19400000000000001</v>
      </c>
      <c r="N9">
        <v>1485</v>
      </c>
      <c r="O9">
        <v>179224</v>
      </c>
      <c r="P9">
        <f>N9+($F$2*$E$2)</f>
        <v>177297</v>
      </c>
      <c r="Q9">
        <f>1000/(T9-O9)</f>
        <v>-5.5800146196383037E-3</v>
      </c>
      <c r="R9">
        <f>U9*Q9</f>
        <v>-5.5800146196383037E-3</v>
      </c>
      <c r="S9">
        <f>Q9*10^6/P9</f>
        <v>-3.1472696208273712E-2</v>
      </c>
      <c r="T9">
        <v>13</v>
      </c>
      <c r="U9">
        <v>1</v>
      </c>
    </row>
    <row r="11" spans="1:21" x14ac:dyDescent="0.45">
      <c r="A11" t="s">
        <v>38</v>
      </c>
      <c r="B11" t="s">
        <v>39</v>
      </c>
      <c r="C11" t="s">
        <v>40</v>
      </c>
      <c r="D11">
        <v>1</v>
      </c>
      <c r="E11">
        <v>0.49991467595100397</v>
      </c>
      <c r="F11">
        <v>0.70704644918441695</v>
      </c>
      <c r="G11">
        <v>0.99883667465734205</v>
      </c>
      <c r="H11">
        <v>51.141844773077203</v>
      </c>
      <c r="I11">
        <v>4540</v>
      </c>
      <c r="J11">
        <v>12173</v>
      </c>
      <c r="K11">
        <v>0</v>
      </c>
      <c r="L11">
        <v>0</v>
      </c>
      <c r="M11">
        <v>2.8690000000000002</v>
      </c>
      <c r="N11">
        <v>1479</v>
      </c>
      <c r="O11">
        <v>179218</v>
      </c>
      <c r="P11">
        <f>N11+($F$2*$E$2)</f>
        <v>177291</v>
      </c>
      <c r="Q11">
        <f>1000/(T11-M11)</f>
        <v>98.706939097818577</v>
      </c>
      <c r="R11">
        <f t="shared" ref="R11" si="0">U11*Q11</f>
        <v>98.706939097818577</v>
      </c>
      <c r="S11">
        <f>Q11*10^6/P11</f>
        <v>556.7509862193715</v>
      </c>
      <c r="T11">
        <v>13</v>
      </c>
      <c r="U11">
        <v>1</v>
      </c>
    </row>
    <row r="12" spans="1:21" x14ac:dyDescent="0.45">
      <c r="A12" t="s">
        <v>41</v>
      </c>
      <c r="B12" t="s">
        <v>42</v>
      </c>
      <c r="C12" t="s">
        <v>43</v>
      </c>
      <c r="D12">
        <v>1</v>
      </c>
      <c r="E12">
        <v>0.49991467595100397</v>
      </c>
      <c r="F12">
        <v>0.70704644918441695</v>
      </c>
      <c r="G12">
        <v>0.99883667465734205</v>
      </c>
      <c r="H12">
        <v>51.141844773077203</v>
      </c>
      <c r="I12">
        <v>21293</v>
      </c>
      <c r="J12">
        <v>13643</v>
      </c>
      <c r="K12">
        <v>0</v>
      </c>
      <c r="L12">
        <v>44</v>
      </c>
      <c r="M12">
        <v>1.7609999999999999</v>
      </c>
      <c r="N12">
        <v>1485</v>
      </c>
      <c r="O12">
        <v>179224</v>
      </c>
      <c r="P12">
        <f>N12+($F$2*$E$2)</f>
        <v>177297</v>
      </c>
      <c r="Q12">
        <f>1000/(T12-M12)</f>
        <v>88.975887534478147</v>
      </c>
      <c r="R12">
        <f>U12*Q12</f>
        <v>88.975887534478147</v>
      </c>
      <c r="S12">
        <f>Q12*10^6/P12</f>
        <v>501.84654864142169</v>
      </c>
      <c r="T12">
        <v>13</v>
      </c>
      <c r="U12">
        <v>1</v>
      </c>
    </row>
    <row r="14" spans="1:21" x14ac:dyDescent="0.45">
      <c r="A14" t="s">
        <v>44</v>
      </c>
      <c r="B14" t="s">
        <v>45</v>
      </c>
      <c r="C14" t="s">
        <v>46</v>
      </c>
      <c r="P14">
        <f t="shared" ref="P14:P15" si="1">N14+($F$2*$E$2)</f>
        <v>175812</v>
      </c>
      <c r="Q14">
        <f t="shared" ref="Q14:Q15" si="2">1000/(T14-M14)</f>
        <v>76.92307692307692</v>
      </c>
      <c r="R14">
        <f t="shared" ref="R14:R15" si="3">U14*Q14</f>
        <v>76.92307692307692</v>
      </c>
      <c r="S14">
        <f t="shared" ref="S14:S15" si="4">Q14*10^6/P14</f>
        <v>437.53029897320386</v>
      </c>
      <c r="T14">
        <v>13</v>
      </c>
      <c r="U14">
        <v>1</v>
      </c>
    </row>
    <row r="15" spans="1:21" x14ac:dyDescent="0.45">
      <c r="A15" t="s">
        <v>47</v>
      </c>
      <c r="B15" t="s">
        <v>48</v>
      </c>
      <c r="C15" t="s">
        <v>49</v>
      </c>
      <c r="P15">
        <f t="shared" si="1"/>
        <v>175812</v>
      </c>
      <c r="Q15">
        <f t="shared" si="2"/>
        <v>76.92307692307692</v>
      </c>
      <c r="R15">
        <f t="shared" si="3"/>
        <v>76.92307692307692</v>
      </c>
      <c r="S15">
        <f t="shared" si="4"/>
        <v>437.53029897320386</v>
      </c>
      <c r="T15">
        <v>13</v>
      </c>
      <c r="U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Nefeli Zikou</dc:creator>
  <cp:lastModifiedBy>Nefeli Zikou</cp:lastModifiedBy>
  <dcterms:created xsi:type="dcterms:W3CDTF">2026-09-04T15:39:31Z</dcterms:created>
  <dcterms:modified xsi:type="dcterms:W3CDTF">2026-09-16T02:10:01Z</dcterms:modified>
</cp:coreProperties>
</file>