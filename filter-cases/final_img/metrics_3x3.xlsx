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"/>
    </mc:Choice>
  </mc:AlternateContent>
  <xr:revisionPtr revIDLastSave="0" documentId="13_ncr:1_{5B6138CB-D000-47B0-9999-660792931CA8}" xr6:coauthVersionLast="47" xr6:coauthVersionMax="47" xr10:uidLastSave="{00000000-0000-0000-0000-000000000000}"/>
  <bookViews>
    <workbookView xWindow="-29316" yWindow="2508" windowWidth="26796" windowHeight="12264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9" i="1" l="1"/>
  <c r="P9" i="1"/>
  <c r="Q8" i="1"/>
  <c r="R8" i="1" s="1"/>
  <c r="P8" i="1"/>
  <c r="S9" i="1" l="1"/>
  <c r="R9" i="1"/>
  <c r="S8" i="1"/>
</calcChain>
</file>

<file path=xl/sharedStrings.xml><?xml version="1.0" encoding="utf-8"?>
<sst xmlns="http://schemas.openxmlformats.org/spreadsheetml/2006/main" count="40" uniqueCount="38">
  <si>
    <t>sobel3x3_int_shift</t>
  </si>
  <si>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</si>
  <si>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</si>
  <si>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</si>
  <si>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</si>
  <si>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</si>
  <si>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</si>
  <si>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</si>
  <si>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</si>
  <si>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</si>
  <si>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</si>
  <si>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</si>
  <si>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</si>
  <si>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</si>
  <si>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</si>
  <si>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</si>
  <si>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</si>
  <si>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</si>
  <si>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</si>
  <si>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</si>
  <si>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</si>
  <si>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</si>
  <si>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</si>
  <si>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</si>
  <si>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</si>
  <si>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</si>
  <si>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</si>
  <si>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</si>
  <si>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</si>
  <si>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</si>
  <si>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sobel3x3_ieee</t>
  </si>
  <si>
    <t>smeagol_verilog_out_sobel3x3_int_shift</t>
  </si>
  <si>
    <t>smeagol_verilog_out_sobel3x3_ieee</t>
  </si>
  <si>
    <t>smeagol_verilog_rec_sobel3x3_ieee</t>
  </si>
  <si>
    <t>smeagol_verilog_rec_sobel3x3_int_shift</t>
  </si>
  <si>
    <t>smeagol_test_img</t>
  </si>
  <si>
    <t>364x483</t>
  </si>
  <si>
    <t>366x485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</si>
</sst>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9"/>
  <sheetViews>
    <sheetView tabSelected="1" topLeftCell="C1" workbookViewId="0">
      <selection activeCell="P16" sqref="P16"/>
    </sheetView>
  </sheetViews>
  <sheetFormatPr defaultRowHeight="14.25" x14ac:dyDescent="0.45"/>
  <cols>
    <col min="1" max="1" width="15" bestFit="1" customWidth="1"/>
    <col min="2" max="2" width="9.33203125" bestFit="1" customWidth="1"/>
    <col min="3" max="3" width="11.1328125" bestFit="1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12</v>
      </c>
      <c r="C1" t="s">
        <v>13</v>
      </c>
      <c r="D1" t="s">
        <v>14</v>
      </c>
      <c r="E1" t="s">
        <v>25</v>
      </c>
      <c r="F1" t="s">
        <v>26</v>
      </c>
    </row>
    <row r="2" spans="1:21" s="1" customFormat="1" x14ac:dyDescent="0.45">
      <c r="A2" t="s">
        <v>35</v>
      </c>
      <c r="B2" s="1" t="s">
        <v>36</v>
      </c>
      <c r="C2" s="1" t="s">
        <v>37</v>
      </c>
      <c r="D2" s="1" t="s">
        <v>36</v>
      </c>
      <c r="E2" s="1">
        <v>364</v>
      </c>
      <c r="F2" s="1">
        <v>483</v>
      </c>
    </row>
    <row r="6" spans="1:21" x14ac:dyDescent="0.45">
      <c r="D6" s="2" t="s">
        <v>3</v>
      </c>
      <c r="E6" s="3"/>
      <c r="F6" s="3"/>
      <c r="G6" s="3"/>
      <c r="H6" s="3"/>
      <c r="I6" s="5" t="s">
        <v>8</v>
      </c>
      <c r="J6" s="5"/>
      <c r="K6" s="4"/>
      <c r="L6" s="4"/>
      <c r="M6" s="6" t="s">
        <v>9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1</v>
      </c>
      <c r="C7" s="1" t="s">
        <v>2</v>
      </c>
      <c r="D7" s="1" t="s">
        <v>7</v>
      </c>
      <c r="E7" s="1" t="s">
        <v>4</v>
      </c>
      <c r="F7" s="1" t="s">
        <v>5</v>
      </c>
      <c r="G7" s="1" t="s">
        <v>6</v>
      </c>
      <c r="H7" s="1" t="s">
        <v>29</v>
      </c>
      <c r="I7" s="1" t="s">
        <v>15</v>
      </c>
      <c r="J7" s="1" t="s">
        <v>16</v>
      </c>
      <c r="K7" s="1" t="s">
        <v>17</v>
      </c>
      <c r="L7" s="1" t="s">
        <v>18</v>
      </c>
      <c r="M7" s="1" t="s">
        <v>19</v>
      </c>
      <c r="N7" s="1" t="s">
        <v>10</v>
      </c>
      <c r="O7" s="1" t="s">
        <v>11</v>
      </c>
      <c r="P7" s="1" t="s">
        <v>24</v>
      </c>
      <c r="Q7" s="1" t="s">
        <v>21</v>
      </c>
      <c r="R7" s="1" t="s">
        <v>27</v>
      </c>
      <c r="S7" s="1" t="s">
        <v>22</v>
      </c>
      <c r="T7" s="1" t="s">
        <v>20</v>
      </c>
      <c r="U7" s="1" t="s">
        <v>23</v>
      </c>
    </row>
    <row r="8" spans="1:21" x14ac:dyDescent="0.45">
      <c r="A8" t="s">
        <v>0</v>
      </c>
      <c r="B8" t="s">
        <v>31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28</v>
      </c>
      <c r="I8">
        <v>535</v>
      </c>
      <c r="J8">
        <v>1044</v>
      </c>
      <c r="K8">
        <v>0</v>
      </c>
      <c r="L8">
        <v>0</v>
      </c>
      <c r="M8">
        <v>6</v>
      </c>
      <c r="N8">
        <v>737</v>
      </c>
      <c r="O8">
        <v>177512</v>
      </c>
      <c r="P8">
        <f>N8+($F$2*$E$2)</f>
        <v>176549</v>
      </c>
      <c r="Q8">
        <f>1000/(T8-M8)</f>
        <v>142.85714285714286</v>
      </c>
      <c r="R8">
        <f>U8*Q8</f>
        <v>142.85714285714286</v>
      </c>
      <c r="S8">
        <f>Q8*10^6/P8</f>
        <v>809.16427086612134</v>
      </c>
      <c r="T8">
        <v>13</v>
      </c>
      <c r="U8">
        <v>1</v>
      </c>
    </row>
    <row r="9" spans="1:21" x14ac:dyDescent="0.45">
      <c r="A9" t="s">
        <v>30</v>
      </c>
      <c r="B9" t="s">
        <v>32</v>
      </c>
      <c r="C9" t="s">
        <v>33</v>
      </c>
      <c r="D9">
        <v>0</v>
      </c>
      <c r="E9">
        <v>0</v>
      </c>
      <c r="F9">
        <v>0</v>
      </c>
      <c r="G9">
        <v>1</v>
      </c>
      <c r="H9" t="s">
        <v>28</v>
      </c>
      <c r="I9">
        <v>10154</v>
      </c>
      <c r="J9">
        <v>6770</v>
      </c>
      <c r="K9">
        <v>0</v>
      </c>
      <c r="L9">
        <v>20</v>
      </c>
      <c r="M9">
        <v>0.68200000000000005</v>
      </c>
      <c r="N9">
        <v>741</v>
      </c>
      <c r="O9">
        <v>177516</v>
      </c>
      <c r="P9">
        <f>N9+($F$2*$E$2)</f>
        <v>176553</v>
      </c>
      <c r="Q9">
        <f>1000/(T9-M9)</f>
        <v>81.182010066569248</v>
      </c>
      <c r="R9">
        <f>U9*Q9</f>
        <v>81.182010066569248</v>
      </c>
      <c r="S9">
        <f>Q9*10^6/P9</f>
        <v>459.8166559988743</v>
      </c>
      <c r="T9">
        <v>13</v>
      </c>
      <c r="U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2026-09-09T11:34:05Z</dcterms:modified>
</cp:coreProperties>
</file>