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ysiko_apth\ptuxiaki\thesis-cases\final_img\"/>
    </mc:Choice>
  </mc:AlternateContent>
  <xr:revisionPtr revIDLastSave="0" documentId="13_ncr:1_{2377BBD1-D1F9-48A0-A380-9B4FE993A7D4}" xr6:coauthVersionLast="47" xr6:coauthVersionMax="47" xr10:uidLastSave="{00000000-0000-0000-0000-000000000000}"/>
  <bookViews>
    <workbookView xWindow="1320" yWindow="1320" windowWidth="18098" windowHeight="7103" xr2:uid="{1A5AD2DC-DE0B-4FFA-AE19-FC07F326EFA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4" i="1" l="1"/>
  <c r="P14" i="1"/>
  <c r="P12" i="1"/>
  <c r="R12" i="1"/>
  <c r="S12" i="1"/>
  <c r="Q12" i="1"/>
  <c r="S11" i="1"/>
  <c r="P11" i="1"/>
  <c r="Q11" i="1"/>
  <c r="R11" i="1"/>
  <c r="Q9" i="1"/>
  <c r="P9" i="1"/>
  <c r="Q8" i="1"/>
  <c r="R8" i="1" s="1"/>
  <c r="P8" i="1"/>
  <c r="R14" i="1" l="1"/>
  <c r="S14" i="1"/>
  <c r="S9" i="1"/>
  <c r="R9" i="1"/>
  <c r="S8" i="1"/>
</calcChain>
</file>

<file path=xl/sharedStrings.xml><?xml version="1.0" encoding="utf-8"?>
<sst xmlns="http://schemas.openxmlformats.org/spreadsheetml/2006/main" count="49" uniqueCount="47">
  <si>
    <t>sobel3x3_int_shift</t>
  </si>
  <si>
    <t>output text</t>
  </si>
  <si>
    <t>output image</t>
  </si>
  <si>
    <t>image metrics</t>
  </si>
  <si>
    <t>MSE</t>
  </si>
  <si>
    <t>RMSE</t>
  </si>
  <si>
    <t>SSIM</t>
  </si>
  <si>
    <t>max diff</t>
  </si>
  <si>
    <t>HW cost metrics</t>
  </si>
  <si>
    <t>Other metrics</t>
  </si>
  <si>
    <t>latency</t>
  </si>
  <si>
    <t>total cycles</t>
  </si>
  <si>
    <t>og size</t>
  </si>
  <si>
    <t>after padding</t>
  </si>
  <si>
    <t>output_imgs</t>
  </si>
  <si>
    <t>LUTs</t>
  </si>
  <si>
    <t>FFs</t>
  </si>
  <si>
    <t>BRAMs</t>
  </si>
  <si>
    <t>DSPs</t>
  </si>
  <si>
    <t>WNS (ns)</t>
  </si>
  <si>
    <t>T-target (ns)</t>
  </si>
  <si>
    <t>Fmax (MHz)</t>
  </si>
  <si>
    <t>FPS</t>
  </si>
  <si>
    <t>Pixels per cycle</t>
  </si>
  <si>
    <t>total cycles per frame</t>
  </si>
  <si>
    <t>final width</t>
  </si>
  <si>
    <t>final Height</t>
  </si>
  <si>
    <t>Pixel Throughput (10^6 pixels/sec)</t>
  </si>
  <si>
    <t>inf</t>
  </si>
  <si>
    <t>PSNR (db)</t>
  </si>
  <si>
    <t>sobel3x3_ieee</t>
  </si>
  <si>
    <t>smeagol_verilog_out_sobel3x3_int_shift</t>
  </si>
  <si>
    <t>smeagol_verilog_out_sobel3x3_ieee</t>
  </si>
  <si>
    <t>smeagol_verilog_rec_sobel3x3_ieee</t>
  </si>
  <si>
    <t>smeagol_verilog_rec_sobel3x3_int_shift</t>
  </si>
  <si>
    <t>smeagol_test_img</t>
  </si>
  <si>
    <t>364x483</t>
  </si>
  <si>
    <t>366x485</t>
  </si>
  <si>
    <t>smeagol_verilog_rec_gaussblur3x3_int_shift</t>
  </si>
  <si>
    <t>smeagol_verilog_out_gaussblur3x3_int_shift</t>
  </si>
  <si>
    <t>gaussblur3x3_ieee</t>
  </si>
  <si>
    <t>gaussblur3x3_int_shift</t>
  </si>
  <si>
    <t>smeagol_verilog_rec_gaussblur3x3_ieee</t>
  </si>
  <si>
    <t>smeagol_verilog_out_gaussblur3x3_ieee</t>
  </si>
  <si>
    <t>cascade_3x3_int_shift</t>
  </si>
  <si>
    <t>smeagol_verilog_out_cascade_3x3_int_shift</t>
  </si>
  <si>
    <t>smeagol_verilog_rec_cascade_3x3_int_shift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</si>
</sst>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5027-CB40-48EE-B4E7-9AA397931008}">
  <dimension ref="A1:U14"/>
  <sheetViews>
    <sheetView tabSelected="1" topLeftCell="J7" zoomScale="85" zoomScaleNormal="85" workbookViewId="0">
      <selection activeCell="W14" sqref="W14"/>
    </sheetView>
  </sheetViews>
  <sheetFormatPr defaultRowHeight="14.25" x14ac:dyDescent="0.45"/>
  <cols>
    <col min="1" max="1" width="15" bestFit="1" customWidth="1"/>
    <col min="2" max="2" width="9.33203125" bestFit="1" customWidth="1"/>
    <col min="3" max="3" width="11.1328125" bestFit="1" customWidth="1"/>
    <col min="7" max="7" width="10.53125" bestFit="1" customWidth="1"/>
    <col min="15" max="15" width="10.53125" bestFit="1" customWidth="1"/>
    <col min="16" max="16" width="19.1328125" bestFit="1" customWidth="1"/>
    <col min="17" max="17" width="14.796875" bestFit="1" customWidth="1"/>
    <col min="18" max="18" width="29.796875" bestFit="1" customWidth="1"/>
    <col min="19" max="19" width="12" bestFit="1" customWidth="1"/>
    <col min="20" max="20" width="11" bestFit="1" customWidth="1"/>
    <col min="21" max="21" width="14" bestFit="1" customWidth="1"/>
  </cols>
  <sheetData>
    <row r="1" spans="1:21" x14ac:dyDescent="0.45">
      <c r="B1" t="s">
        <v>12</v>
      </c>
      <c r="C1" t="s">
        <v>13</v>
      </c>
      <c r="D1" t="s">
        <v>14</v>
      </c>
      <c r="E1" t="s">
        <v>25</v>
      </c>
      <c r="F1" t="s">
        <v>26</v>
      </c>
    </row>
    <row r="2" spans="1:21" s="1" customFormat="1" x14ac:dyDescent="0.45">
      <c r="A2" t="s">
        <v>35</v>
      </c>
      <c r="B2" s="1" t="s">
        <v>36</v>
      </c>
      <c r="C2" s="1" t="s">
        <v>37</v>
      </c>
      <c r="D2" s="1" t="s">
        <v>36</v>
      </c>
      <c r="E2" s="1">
        <v>364</v>
      </c>
      <c r="F2" s="1">
        <v>483</v>
      </c>
    </row>
    <row r="6" spans="1:21" x14ac:dyDescent="0.45">
      <c r="D6" s="2" t="s">
        <v>3</v>
      </c>
      <c r="E6" s="3"/>
      <c r="F6" s="3"/>
      <c r="G6" s="3"/>
      <c r="H6" s="3"/>
      <c r="I6" s="5" t="s">
        <v>8</v>
      </c>
      <c r="J6" s="5"/>
      <c r="K6" s="4"/>
      <c r="L6" s="4"/>
      <c r="M6" s="6" t="s">
        <v>9</v>
      </c>
      <c r="N6" s="7"/>
      <c r="O6" s="7"/>
      <c r="P6" s="7"/>
      <c r="Q6" s="7"/>
      <c r="R6" s="7"/>
      <c r="S6" s="7"/>
      <c r="T6" s="8"/>
      <c r="U6" s="8"/>
    </row>
    <row r="7" spans="1:21" x14ac:dyDescent="0.45">
      <c r="A7" s="1"/>
      <c r="B7" s="1" t="s">
        <v>1</v>
      </c>
      <c r="C7" s="1" t="s">
        <v>2</v>
      </c>
      <c r="D7" s="1" t="s">
        <v>7</v>
      </c>
      <c r="E7" s="1" t="s">
        <v>4</v>
      </c>
      <c r="F7" s="1" t="s">
        <v>5</v>
      </c>
      <c r="G7" s="1" t="s">
        <v>6</v>
      </c>
      <c r="H7" s="1" t="s">
        <v>29</v>
      </c>
      <c r="I7" s="1" t="s">
        <v>15</v>
      </c>
      <c r="J7" s="1" t="s">
        <v>16</v>
      </c>
      <c r="K7" s="1" t="s">
        <v>17</v>
      </c>
      <c r="L7" s="1" t="s">
        <v>18</v>
      </c>
      <c r="M7" s="1" t="s">
        <v>19</v>
      </c>
      <c r="N7" s="1" t="s">
        <v>10</v>
      </c>
      <c r="O7" s="1" t="s">
        <v>11</v>
      </c>
      <c r="P7" s="1" t="s">
        <v>24</v>
      </c>
      <c r="Q7" s="1" t="s">
        <v>21</v>
      </c>
      <c r="R7" s="1" t="s">
        <v>27</v>
      </c>
      <c r="S7" s="1" t="s">
        <v>22</v>
      </c>
      <c r="T7" s="1" t="s">
        <v>20</v>
      </c>
      <c r="U7" s="1" t="s">
        <v>23</v>
      </c>
    </row>
    <row r="8" spans="1:21" x14ac:dyDescent="0.45">
      <c r="A8" t="s">
        <v>0</v>
      </c>
      <c r="B8" t="s">
        <v>31</v>
      </c>
      <c r="C8" t="s">
        <v>34</v>
      </c>
      <c r="D8">
        <v>0</v>
      </c>
      <c r="E8">
        <v>0</v>
      </c>
      <c r="F8">
        <v>0</v>
      </c>
      <c r="G8">
        <v>1</v>
      </c>
      <c r="H8" t="s">
        <v>28</v>
      </c>
      <c r="I8">
        <v>535</v>
      </c>
      <c r="J8">
        <v>1044</v>
      </c>
      <c r="K8">
        <v>0</v>
      </c>
      <c r="L8">
        <v>0</v>
      </c>
      <c r="M8">
        <v>6</v>
      </c>
      <c r="N8">
        <v>737</v>
      </c>
      <c r="O8">
        <v>177512</v>
      </c>
      <c r="P8">
        <f>N8+($F$2*$E$2)</f>
        <v>176549</v>
      </c>
      <c r="Q8">
        <f>1000/(T8-M8)</f>
        <v>142.85714285714286</v>
      </c>
      <c r="R8">
        <f>U8*Q8</f>
        <v>142.85714285714286</v>
      </c>
      <c r="S8">
        <f>Q8*10^6/P8</f>
        <v>809.16427086612134</v>
      </c>
      <c r="T8">
        <v>13</v>
      </c>
      <c r="U8">
        <v>1</v>
      </c>
    </row>
    <row r="9" spans="1:21" x14ac:dyDescent="0.45">
      <c r="A9" t="s">
        <v>30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1</v>
      </c>
      <c r="H9" t="s">
        <v>28</v>
      </c>
      <c r="I9">
        <v>10154</v>
      </c>
      <c r="J9">
        <v>6770</v>
      </c>
      <c r="K9">
        <v>0</v>
      </c>
      <c r="L9">
        <v>20</v>
      </c>
      <c r="M9">
        <v>0.68200000000000005</v>
      </c>
      <c r="N9">
        <v>741</v>
      </c>
      <c r="O9">
        <v>177516</v>
      </c>
      <c r="P9">
        <f>N9+($F$2*$E$2)</f>
        <v>176553</v>
      </c>
      <c r="Q9">
        <f>1000/(T9-M9)</f>
        <v>81.182010066569248</v>
      </c>
      <c r="R9">
        <f>U9*Q9</f>
        <v>81.182010066569248</v>
      </c>
      <c r="S9">
        <f>Q9*10^6/P9</f>
        <v>459.8166559988743</v>
      </c>
      <c r="T9">
        <v>13</v>
      </c>
      <c r="U9">
        <v>1</v>
      </c>
    </row>
    <row r="11" spans="1:21" x14ac:dyDescent="0.45">
      <c r="A11" t="s">
        <v>41</v>
      </c>
      <c r="B11" t="s">
        <v>39</v>
      </c>
      <c r="C11" t="s">
        <v>38</v>
      </c>
      <c r="D11">
        <v>1</v>
      </c>
      <c r="E11">
        <v>0.46595796942710799</v>
      </c>
      <c r="F11">
        <v>0.68261116743087702</v>
      </c>
      <c r="G11">
        <v>0.99896690452025805</v>
      </c>
      <c r="H11">
        <v>51.447336220525997</v>
      </c>
      <c r="I11">
        <v>2320</v>
      </c>
      <c r="J11">
        <v>6093</v>
      </c>
      <c r="K11">
        <v>0</v>
      </c>
      <c r="L11">
        <v>0</v>
      </c>
      <c r="M11">
        <v>4.6230000000000002</v>
      </c>
      <c r="N11">
        <v>737</v>
      </c>
      <c r="O11">
        <v>177512</v>
      </c>
      <c r="P11">
        <f>N11+($F$2*$E$2)</f>
        <v>176549</v>
      </c>
      <c r="Q11">
        <f>1000/(T11-M11)</f>
        <v>119.37447773665991</v>
      </c>
      <c r="R11">
        <f t="shared" ref="R11" si="0">U11*Q11</f>
        <v>119.37447773665991</v>
      </c>
      <c r="S11">
        <f>Q11*10^6/P11</f>
        <v>676.15493566465921</v>
      </c>
      <c r="T11">
        <v>13</v>
      </c>
      <c r="U11">
        <v>1</v>
      </c>
    </row>
    <row r="12" spans="1:21" x14ac:dyDescent="0.45">
      <c r="A12" t="s">
        <v>40</v>
      </c>
      <c r="B12" t="s">
        <v>43</v>
      </c>
      <c r="C12" t="s">
        <v>42</v>
      </c>
      <c r="D12">
        <v>1</v>
      </c>
      <c r="E12">
        <v>0.46595796942710799</v>
      </c>
      <c r="F12">
        <v>0.68261116743087702</v>
      </c>
      <c r="G12">
        <v>0.99896690452025805</v>
      </c>
      <c r="H12">
        <v>51.447336220525997</v>
      </c>
      <c r="I12">
        <v>7739</v>
      </c>
      <c r="J12">
        <v>6565</v>
      </c>
      <c r="K12">
        <v>0</v>
      </c>
      <c r="L12">
        <v>12</v>
      </c>
      <c r="M12">
        <v>1.101</v>
      </c>
      <c r="N12">
        <v>742</v>
      </c>
      <c r="O12">
        <v>177517</v>
      </c>
      <c r="P12">
        <f>N12+($F$2*$E$2)</f>
        <v>176554</v>
      </c>
      <c r="Q12">
        <f>1000/(T12-M12)</f>
        <v>84.040675687032518</v>
      </c>
      <c r="R12">
        <f>U12*Q12</f>
        <v>84.040675687032518</v>
      </c>
      <c r="S12">
        <f>Q12*10^6/P12</f>
        <v>476.00550362513746</v>
      </c>
      <c r="T12">
        <v>13</v>
      </c>
      <c r="U12">
        <v>1</v>
      </c>
    </row>
    <row r="14" spans="1:21" x14ac:dyDescent="0.45">
      <c r="A14" t="s">
        <v>44</v>
      </c>
      <c r="B14" t="s">
        <v>45</v>
      </c>
      <c r="C14" t="s">
        <v>46</v>
      </c>
      <c r="D14">
        <v>6</v>
      </c>
      <c r="E14">
        <v>5.2477874755859304</v>
      </c>
      <c r="F14">
        <v>2.2908051013946502</v>
      </c>
      <c r="G14">
        <v>0.99291031001720997</v>
      </c>
      <c r="H14">
        <v>40.931041264318701</v>
      </c>
      <c r="I14">
        <v>4722</v>
      </c>
      <c r="J14">
        <v>12233</v>
      </c>
      <c r="K14">
        <v>0</v>
      </c>
      <c r="L14">
        <v>0</v>
      </c>
      <c r="M14">
        <v>3.5950000000000002</v>
      </c>
      <c r="N14">
        <v>1481</v>
      </c>
      <c r="O14">
        <v>179220</v>
      </c>
      <c r="P14">
        <f t="shared" ref="P13:P14" si="1">N14+($F$2*$E$2)</f>
        <v>177293</v>
      </c>
      <c r="Q14">
        <f t="shared" ref="Q13:Q14" si="2">1000/(T14-M14)</f>
        <v>106.32642211589581</v>
      </c>
      <c r="R14">
        <f t="shared" ref="R13:R14" si="3">U14*Q14</f>
        <v>106.32642211589581</v>
      </c>
      <c r="S14">
        <f t="shared" ref="S13:S14" si="4">Q14*10^6/P14</f>
        <v>599.72148993979351</v>
      </c>
      <c r="T14">
        <v>13</v>
      </c>
      <c r="U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Nefeli Zikou</dc:creator>
  <cp:lastModifiedBy>Nefeli Zikou</cp:lastModifiedBy>
  <dcterms:created xsi:type="dcterms:W3CDTF">2026-09-04T15:39:31Z</dcterms:created>
  <dcterms:modified xsi:type="dcterms:W3CDTF">2026-09-11T14:47:55Z</dcterms:modified>
</cp:coreProperties>
</file>