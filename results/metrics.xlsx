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fysiko_apth\ptuxiaki\thesis-cases\new-run\"/>
    </mc:Choice>
  </mc:AlternateContent>
  <xr:revisionPtr revIDLastSave="0" documentId="13_ncr:1_{211AE13F-6A96-42BF-8A7A-653946C335B0}" xr6:coauthVersionLast="47" xr6:coauthVersionMax="47" xr10:uidLastSave="{00000000-0000-0000-0000-000000000000}"/>
  <bookViews>
    <workbookView xWindow="-98" yWindow="-98" windowWidth="21795" windowHeight="12975" activeTab="3" xr2:uid="{1A5AD2DC-DE0B-4FFA-AE19-FC07F326EFA1}"/>
  </bookViews>
  <sheets>
    <sheet name="3x3" sheetId="1" r:id="rId1"/>
    <sheet name="5x5" sheetId="2" r:id="rId2"/>
    <sheet name="αλλ" sheetId="3" r:id="rId3"/>
    <sheet name="new-run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3" i="4" l="1"/>
  <c r="I11" i="4"/>
  <c r="I12" i="4"/>
  <c r="I13" i="4"/>
  <c r="I14" i="4"/>
  <c r="I15" i="4"/>
  <c r="I24" i="4"/>
  <c r="I25" i="4"/>
  <c r="I26" i="4"/>
  <c r="I27" i="4"/>
  <c r="I28" i="4"/>
  <c r="I10" i="4"/>
  <c r="S8" i="1"/>
  <c r="R8" i="1"/>
  <c r="P8" i="1"/>
  <c r="G10" i="4"/>
  <c r="G11" i="4"/>
  <c r="H11" i="4" s="1"/>
  <c r="Q11" i="4" s="1"/>
  <c r="G12" i="4"/>
  <c r="H12" i="4" s="1"/>
  <c r="Q12" i="4" s="1"/>
  <c r="G13" i="4"/>
  <c r="H13" i="4" s="1"/>
  <c r="Q13" i="4" s="1"/>
  <c r="G14" i="4"/>
  <c r="H14" i="4" s="1"/>
  <c r="Q14" i="4" s="1"/>
  <c r="G15" i="4"/>
  <c r="H15" i="4" s="1"/>
  <c r="Q15" i="4" s="1"/>
  <c r="H10" i="4"/>
  <c r="Q10" i="4" s="1"/>
  <c r="Q8" i="2"/>
  <c r="G24" i="4"/>
  <c r="H24" i="4" s="1"/>
  <c r="Q24" i="4" s="1"/>
  <c r="G25" i="4"/>
  <c r="H25" i="4" s="1"/>
  <c r="Q25" i="4" s="1"/>
  <c r="G26" i="4"/>
  <c r="H26" i="4" s="1"/>
  <c r="Q26" i="4" s="1"/>
  <c r="G27" i="4"/>
  <c r="H27" i="4" s="1"/>
  <c r="Q27" i="4" s="1"/>
  <c r="G28" i="4"/>
  <c r="H28" i="4" s="1"/>
  <c r="Q28" i="4" s="1"/>
  <c r="G23" i="4"/>
  <c r="H23" i="4" s="1"/>
  <c r="Q23" i="4" s="1"/>
  <c r="Q9" i="2"/>
  <c r="R9" i="2"/>
  <c r="P25" i="4"/>
  <c r="P26" i="4"/>
  <c r="P27" i="4"/>
  <c r="P28" i="4"/>
  <c r="P24" i="4"/>
  <c r="N24" i="4"/>
  <c r="N25" i="4"/>
  <c r="N26" i="4"/>
  <c r="N27" i="4"/>
  <c r="N28" i="4"/>
  <c r="N23" i="4"/>
  <c r="N11" i="4"/>
  <c r="N12" i="4"/>
  <c r="N13" i="4"/>
  <c r="N14" i="4"/>
  <c r="N15" i="4"/>
  <c r="N10" i="4"/>
  <c r="O24" i="4"/>
  <c r="O25" i="4"/>
  <c r="O26" i="4"/>
  <c r="O27" i="4"/>
  <c r="O28" i="4"/>
  <c r="O23" i="4"/>
  <c r="O11" i="4"/>
  <c r="O12" i="4"/>
  <c r="O13" i="4"/>
  <c r="O14" i="4"/>
  <c r="O15" i="4"/>
  <c r="O10" i="4"/>
  <c r="P23" i="4"/>
  <c r="P11" i="4"/>
  <c r="P12" i="4"/>
  <c r="P13" i="4"/>
  <c r="P14" i="4"/>
  <c r="P15" i="4"/>
  <c r="P10" i="4"/>
  <c r="P8" i="2"/>
  <c r="S8" i="2"/>
  <c r="V24" i="3"/>
  <c r="Y9" i="3"/>
  <c r="Y11" i="3"/>
  <c r="Y12" i="3"/>
  <c r="Y14" i="3"/>
  <c r="Y15" i="3"/>
  <c r="Y23" i="3"/>
  <c r="Y24" i="3"/>
  <c r="Y25" i="3"/>
  <c r="Y26" i="3"/>
  <c r="Y27" i="3"/>
  <c r="Y28" i="3"/>
  <c r="Y29" i="3"/>
  <c r="Y30" i="3"/>
  <c r="Y8" i="3"/>
  <c r="X30" i="3"/>
  <c r="W30" i="3"/>
  <c r="V30" i="3"/>
  <c r="X9" i="3"/>
  <c r="X10" i="3"/>
  <c r="X11" i="3"/>
  <c r="X12" i="3"/>
  <c r="X13" i="3"/>
  <c r="X14" i="3"/>
  <c r="X15" i="3"/>
  <c r="X23" i="3"/>
  <c r="X24" i="3"/>
  <c r="X25" i="3"/>
  <c r="X26" i="3"/>
  <c r="X27" i="3"/>
  <c r="X28" i="3"/>
  <c r="X29" i="3"/>
  <c r="X8" i="3"/>
  <c r="V23" i="3"/>
  <c r="V25" i="3"/>
  <c r="V26" i="3"/>
  <c r="V27" i="3"/>
  <c r="V28" i="3"/>
  <c r="V29" i="3"/>
  <c r="W23" i="3"/>
  <c r="W24" i="3"/>
  <c r="W25" i="3"/>
  <c r="W26" i="3"/>
  <c r="W27" i="3"/>
  <c r="W28" i="3"/>
  <c r="W29" i="3"/>
  <c r="W9" i="3"/>
  <c r="W10" i="3"/>
  <c r="W11" i="3"/>
  <c r="W12" i="3"/>
  <c r="W13" i="3"/>
  <c r="W14" i="3"/>
  <c r="W15" i="3"/>
  <c r="W8" i="3"/>
  <c r="V9" i="3"/>
  <c r="V10" i="3"/>
  <c r="V11" i="3"/>
  <c r="V12" i="3"/>
  <c r="V13" i="3"/>
  <c r="V14" i="3"/>
  <c r="V15" i="3"/>
  <c r="V8" i="3"/>
  <c r="Q15" i="2"/>
  <c r="R15" i="2" s="1"/>
  <c r="P15" i="2"/>
  <c r="S15" i="2" s="1"/>
  <c r="Q14" i="2"/>
  <c r="P14" i="2"/>
  <c r="Q12" i="2"/>
  <c r="P12" i="2"/>
  <c r="Q11" i="2"/>
  <c r="P11" i="2"/>
  <c r="P9" i="2"/>
  <c r="Q8" i="1"/>
  <c r="Q15" i="1"/>
  <c r="P15" i="1"/>
  <c r="Q14" i="1"/>
  <c r="P14" i="1"/>
  <c r="P12" i="1"/>
  <c r="Q12" i="1"/>
  <c r="P11" i="1"/>
  <c r="Q11" i="1"/>
  <c r="Q9" i="1"/>
  <c r="P9" i="1"/>
  <c r="S14" i="2" l="1"/>
  <c r="R14" i="2"/>
  <c r="S12" i="2"/>
  <c r="R12" i="2"/>
  <c r="S11" i="2"/>
  <c r="R11" i="2"/>
  <c r="S9" i="2"/>
  <c r="R8" i="2"/>
  <c r="S12" i="1"/>
  <c r="R12" i="1"/>
  <c r="R11" i="1"/>
  <c r="S11" i="1"/>
  <c r="S15" i="1"/>
  <c r="R15" i="1"/>
  <c r="R14" i="1"/>
  <c r="S14" i="1"/>
  <c r="S9" i="1"/>
  <c r="R9" i="1"/>
</calcChain>
</file>

<file path=xl/sharedStrings.xml><?xml version="1.0" encoding="utf-8"?>
<sst xmlns="http://schemas.openxmlformats.org/spreadsheetml/2006/main" count="221" uniqueCount="78">
  <si>
    <t>sobel3x3_int_shift</t>
  </si>
  <si>
    <t>output text</t>
  </si>
  <si>
    <t>output image</t>
  </si>
  <si>
    <t>image metrics</t>
  </si>
  <si>
    <t>MSE</t>
  </si>
  <si>
    <t>RMSE</t>
  </si>
  <si>
    <t>SSIM</t>
  </si>
  <si>
    <t>max diff</t>
  </si>
  <si>
    <t>HW cost metrics</t>
  </si>
  <si>
    <t>Other metrics</t>
  </si>
  <si>
    <t>latency</t>
  </si>
  <si>
    <t>total cycles</t>
  </si>
  <si>
    <t>og size</t>
  </si>
  <si>
    <t>after padding</t>
  </si>
  <si>
    <t>output_imgs</t>
  </si>
  <si>
    <t>LUTs</t>
  </si>
  <si>
    <t>FFs</t>
  </si>
  <si>
    <t>BRAMs</t>
  </si>
  <si>
    <t>DSPs</t>
  </si>
  <si>
    <t>WNS (ns)</t>
  </si>
  <si>
    <t>T-target (ns)</t>
  </si>
  <si>
    <t>Fmax (MHz)</t>
  </si>
  <si>
    <t>FPS</t>
  </si>
  <si>
    <t>Pixels per cycle</t>
  </si>
  <si>
    <t>total cycles per frame</t>
  </si>
  <si>
    <t>final width</t>
  </si>
  <si>
    <t>final Height</t>
  </si>
  <si>
    <t>Pixel Throughput (10^6 pixels/sec)</t>
  </si>
  <si>
    <t>PSNR (db)</t>
  </si>
  <si>
    <t>sobel3x3_ieee</t>
  </si>
  <si>
    <t>smeagol_verilog_out_sobel3x3_int_shift</t>
  </si>
  <si>
    <t>smeagol_verilog_out_sobel3x3_ieee</t>
  </si>
  <si>
    <t>smeagol_verilog_rec_sobel3x3_ieee</t>
  </si>
  <si>
    <t>smeagol_verilog_rec_sobel3x3_int_shift</t>
  </si>
  <si>
    <t>smeagol_test_img</t>
  </si>
  <si>
    <t>364x483</t>
  </si>
  <si>
    <t>366x485</t>
  </si>
  <si>
    <t>smeagol_verilog_rec_gaussblur3x3_int_shift</t>
  </si>
  <si>
    <t>smeagol_verilog_out_gaussblur3x3_int_shift</t>
  </si>
  <si>
    <t>gaussblur3x3_ieee</t>
  </si>
  <si>
    <t>gaussblur3x3_int_shift</t>
  </si>
  <si>
    <t>smeagol_verilog_rec_gaussblur3x3_ieee</t>
  </si>
  <si>
    <t>smeagol_verilog_out_gaussblur3x3_ieee</t>
  </si>
  <si>
    <t>cascade_3x3_int_shift</t>
  </si>
  <si>
    <t>smeagol_verilog_out_cascade_3x3_int_shift</t>
  </si>
  <si>
    <t>smeagol_verilog_rec_cascade_3x3_int_shift</t>
  </si>
  <si>
    <t>cascade_3x3_ieee</t>
  </si>
  <si>
    <t>smeagol_verilog_out_cascade_3x3_ieee</t>
  </si>
  <si>
    <t>smeagol_verilog_rec_cascade_3x3_ieee</t>
  </si>
  <si>
    <t>inf</t>
  </si>
  <si>
    <t>368x487</t>
  </si>
  <si>
    <t>372x491</t>
  </si>
  <si>
    <t>sobel5x5_int_shift</t>
  </si>
  <si>
    <t>smeagol_verilog_out_sobel5x5_int_shift</t>
  </si>
  <si>
    <t>smeagol_verilog_rec_sobel5x5_int_shift</t>
  </si>
  <si>
    <t>sobel5x5_ieee</t>
  </si>
  <si>
    <t>smeagol_verilog_out_sobel5x5_ieee</t>
  </si>
  <si>
    <t>smeagol_verilog_rec_sobel5x5_ieee</t>
  </si>
  <si>
    <t>gaussblur5x5_int_shift</t>
  </si>
  <si>
    <t>smeagol_verilog_out_gaussblur5x5_int_shift</t>
  </si>
  <si>
    <t>smeagol_verilog_rec_gaussblur5x5_int_shift</t>
  </si>
  <si>
    <t>gaussblur5x5_ieee</t>
  </si>
  <si>
    <t>smeagol_verilog_out_gaussblur5x5_ieee</t>
  </si>
  <si>
    <t>smeagol_verilog_rec_gaussblur5x5_ieee</t>
  </si>
  <si>
    <t>cascade_5x5_int_shift</t>
  </si>
  <si>
    <t>smeagol_verilog_out_cascade_5x5_int_shift</t>
  </si>
  <si>
    <t>smeagol_verilog_rec_cascade_5x5_int_shift</t>
  </si>
  <si>
    <t>cascade_5x5_ieee</t>
  </si>
  <si>
    <t>smeagol_verilog_out_cascade_5x5_ieee</t>
  </si>
  <si>
    <t>smeagol_verilog_rec_cascade_5x5_ieee</t>
  </si>
  <si>
    <t>target</t>
  </si>
  <si>
    <t>3x3</t>
  </si>
  <si>
    <t>5x5</t>
  </si>
  <si>
    <t>LUT</t>
  </si>
  <si>
    <t>FF</t>
  </si>
  <si>
    <t>DSP</t>
  </si>
  <si>
    <t>area efficiency</t>
  </si>
  <si>
    <t>xc7a200tsbg484-1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</si>
</sst>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5"/>
      <color rgb="FFC9D1D9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1" fillId="4" borderId="0" xfId="0" applyFont="1" applyFill="1"/>
    <xf numFmtId="0" fontId="0" fillId="4" borderId="0" xfId="0" applyFill="1"/>
    <xf numFmtId="0" fontId="0" fillId="5" borderId="0" xfId="0" applyFill="1"/>
    <xf numFmtId="11" fontId="0" fillId="0" borderId="0" xfId="0" applyNumberFormat="1"/>
    <xf numFmtId="0" fontId="0" fillId="6" borderId="0" xfId="0" applyFill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25027-CB40-48EE-B4E7-9AA397931008}">
  <dimension ref="A1:U15"/>
  <sheetViews>
    <sheetView topLeftCell="C1" zoomScale="85" zoomScaleNormal="85" workbookViewId="0">
      <selection activeCell="P34" sqref="P34"/>
    </sheetView>
  </sheetViews>
  <sheetFormatPr defaultRowHeight="14.25" x14ac:dyDescent="0.45"/>
  <cols>
    <col min="1" max="1" width="15" bestFit="1" customWidth="1"/>
    <col min="2" max="2" width="9.33203125" bestFit="1" customWidth="1"/>
    <col min="3" max="3" width="11.1328125" bestFit="1" customWidth="1"/>
    <col min="7" max="7" width="10.53125" bestFit="1" customWidth="1"/>
    <col min="15" max="15" width="10.53125" bestFit="1" customWidth="1"/>
    <col min="16" max="16" width="19.1328125" bestFit="1" customWidth="1"/>
    <col min="17" max="17" width="14.796875" bestFit="1" customWidth="1"/>
    <col min="18" max="18" width="29.796875" bestFit="1" customWidth="1"/>
    <col min="19" max="19" width="12" bestFit="1" customWidth="1"/>
    <col min="20" max="20" width="11" bestFit="1" customWidth="1"/>
    <col min="21" max="21" width="14" bestFit="1" customWidth="1"/>
  </cols>
  <sheetData>
    <row r="1" spans="1:21" x14ac:dyDescent="0.45">
      <c r="B1" t="s">
        <v>12</v>
      </c>
      <c r="C1" t="s">
        <v>13</v>
      </c>
      <c r="D1" t="s">
        <v>14</v>
      </c>
      <c r="E1" t="s">
        <v>25</v>
      </c>
      <c r="F1" t="s">
        <v>26</v>
      </c>
    </row>
    <row r="2" spans="1:21" s="1" customFormat="1" x14ac:dyDescent="0.45">
      <c r="A2" t="s">
        <v>34</v>
      </c>
      <c r="B2" s="1" t="s">
        <v>35</v>
      </c>
      <c r="C2" s="1" t="s">
        <v>36</v>
      </c>
      <c r="D2" s="1" t="s">
        <v>35</v>
      </c>
      <c r="E2" s="1">
        <v>364</v>
      </c>
      <c r="F2" s="1">
        <v>483</v>
      </c>
    </row>
    <row r="6" spans="1:21" x14ac:dyDescent="0.45">
      <c r="D6" s="2" t="s">
        <v>3</v>
      </c>
      <c r="E6" s="3"/>
      <c r="F6" s="3"/>
      <c r="G6" s="3"/>
      <c r="H6" s="3"/>
      <c r="I6" s="5" t="s">
        <v>8</v>
      </c>
      <c r="J6" s="5"/>
      <c r="K6" s="4"/>
      <c r="L6" s="4"/>
      <c r="M6" s="6" t="s">
        <v>9</v>
      </c>
      <c r="N6" s="7"/>
      <c r="O6" s="7"/>
      <c r="P6" s="7"/>
      <c r="Q6" s="7"/>
      <c r="R6" s="7"/>
      <c r="S6" s="7"/>
      <c r="T6" s="8"/>
      <c r="U6" s="8"/>
    </row>
    <row r="7" spans="1:21" x14ac:dyDescent="0.45">
      <c r="A7" s="1"/>
      <c r="B7" s="1" t="s">
        <v>1</v>
      </c>
      <c r="C7" s="1" t="s">
        <v>2</v>
      </c>
      <c r="D7" s="1" t="s">
        <v>7</v>
      </c>
      <c r="E7" s="1" t="s">
        <v>4</v>
      </c>
      <c r="F7" s="1" t="s">
        <v>5</v>
      </c>
      <c r="G7" s="1" t="s">
        <v>6</v>
      </c>
      <c r="H7" s="1" t="s">
        <v>28</v>
      </c>
      <c r="I7" s="1" t="s">
        <v>15</v>
      </c>
      <c r="J7" s="1" t="s">
        <v>16</v>
      </c>
      <c r="K7" s="1" t="s">
        <v>17</v>
      </c>
      <c r="L7" s="1" t="s">
        <v>18</v>
      </c>
      <c r="M7" s="1" t="s">
        <v>19</v>
      </c>
      <c r="N7" s="1" t="s">
        <v>10</v>
      </c>
      <c r="O7" s="1" t="s">
        <v>11</v>
      </c>
      <c r="P7" s="1" t="s">
        <v>24</v>
      </c>
      <c r="Q7" s="1" t="s">
        <v>21</v>
      </c>
      <c r="R7" s="1" t="s">
        <v>27</v>
      </c>
      <c r="S7" s="1" t="s">
        <v>22</v>
      </c>
      <c r="T7" s="1" t="s">
        <v>20</v>
      </c>
      <c r="U7" s="1" t="s">
        <v>23</v>
      </c>
    </row>
    <row r="8" spans="1:21" x14ac:dyDescent="0.45">
      <c r="A8" t="s">
        <v>0</v>
      </c>
      <c r="B8" t="s">
        <v>30</v>
      </c>
      <c r="C8" t="s">
        <v>33</v>
      </c>
      <c r="D8">
        <v>0</v>
      </c>
      <c r="E8">
        <v>0</v>
      </c>
      <c r="F8">
        <v>0</v>
      </c>
      <c r="G8">
        <v>1</v>
      </c>
      <c r="H8" t="s">
        <v>49</v>
      </c>
      <c r="I8">
        <v>2342</v>
      </c>
      <c r="J8">
        <v>6092</v>
      </c>
      <c r="K8">
        <v>0</v>
      </c>
      <c r="L8">
        <v>0</v>
      </c>
      <c r="M8">
        <v>6.59</v>
      </c>
      <c r="N8">
        <v>737</v>
      </c>
      <c r="O8">
        <v>177512</v>
      </c>
      <c r="P8">
        <f>N8+($F$2*$E$2)</f>
        <v>176549</v>
      </c>
      <c r="Q8">
        <f>1000/(T8-M8)</f>
        <v>74.57121551081282</v>
      </c>
      <c r="R8">
        <f>U8*Q8</f>
        <v>74.57121551081282</v>
      </c>
      <c r="S8">
        <f>Q8*10^6/P8</f>
        <v>422.3825425848508</v>
      </c>
      <c r="T8">
        <v>20</v>
      </c>
      <c r="U8">
        <v>1</v>
      </c>
    </row>
    <row r="9" spans="1:21" x14ac:dyDescent="0.45">
      <c r="A9" t="s">
        <v>29</v>
      </c>
      <c r="B9" t="s">
        <v>31</v>
      </c>
      <c r="C9" t="s">
        <v>32</v>
      </c>
      <c r="D9">
        <v>0</v>
      </c>
      <c r="E9">
        <v>0</v>
      </c>
      <c r="F9">
        <v>0</v>
      </c>
      <c r="G9">
        <v>1</v>
      </c>
      <c r="H9" t="s">
        <v>49</v>
      </c>
      <c r="I9">
        <v>10027</v>
      </c>
      <c r="J9">
        <v>6716</v>
      </c>
      <c r="L9">
        <v>14</v>
      </c>
      <c r="M9">
        <v>0.49299999999999999</v>
      </c>
      <c r="N9">
        <v>741</v>
      </c>
      <c r="O9">
        <v>177516</v>
      </c>
      <c r="P9">
        <f>N9+($F$2*$E$2)</f>
        <v>176553</v>
      </c>
      <c r="Q9">
        <f>1000/(T9-M9)</f>
        <v>51.263648946532008</v>
      </c>
      <c r="R9">
        <f>U9*Q9</f>
        <v>51.263648946532008</v>
      </c>
      <c r="S9">
        <f>Q9*10^6/P9</f>
        <v>290.3584133179952</v>
      </c>
      <c r="T9">
        <v>20</v>
      </c>
      <c r="U9">
        <v>1</v>
      </c>
    </row>
    <row r="11" spans="1:21" x14ac:dyDescent="0.45">
      <c r="A11" t="s">
        <v>40</v>
      </c>
      <c r="B11" t="s">
        <v>38</v>
      </c>
      <c r="C11" t="s">
        <v>37</v>
      </c>
      <c r="D11">
        <v>14</v>
      </c>
      <c r="E11">
        <v>1.9493209123611399</v>
      </c>
      <c r="F11">
        <v>1.3961808681487999</v>
      </c>
      <c r="G11">
        <v>0.99740998193323904</v>
      </c>
      <c r="H11">
        <v>45.2319700954192</v>
      </c>
      <c r="I11">
        <v>2317</v>
      </c>
      <c r="J11">
        <v>6093</v>
      </c>
      <c r="K11">
        <v>0</v>
      </c>
      <c r="L11">
        <v>0</v>
      </c>
      <c r="M11">
        <v>6.58</v>
      </c>
      <c r="N11">
        <v>737</v>
      </c>
      <c r="O11">
        <v>177512</v>
      </c>
      <c r="P11">
        <f>N11+($F$2*$E$2)</f>
        <v>176549</v>
      </c>
      <c r="Q11">
        <f>1000/(T11-M11)</f>
        <v>74.515648286140092</v>
      </c>
      <c r="R11">
        <f t="shared" ref="R11" si="0">U11*Q11</f>
        <v>74.515648286140092</v>
      </c>
      <c r="S11">
        <f>Q11*10^6/P11</f>
        <v>422.06780149499627</v>
      </c>
      <c r="T11">
        <v>20</v>
      </c>
      <c r="U11">
        <v>1</v>
      </c>
    </row>
    <row r="12" spans="1:21" x14ac:dyDescent="0.45">
      <c r="A12" t="s">
        <v>39</v>
      </c>
      <c r="B12" t="s">
        <v>42</v>
      </c>
      <c r="C12" t="s">
        <v>41</v>
      </c>
      <c r="D12">
        <v>1</v>
      </c>
      <c r="E12">
        <v>7.4852681718766603E-3</v>
      </c>
      <c r="F12">
        <v>8.6517445743083898E-2</v>
      </c>
      <c r="G12">
        <v>0.99991310098460395</v>
      </c>
      <c r="H12">
        <v>69.388730549597</v>
      </c>
      <c r="I12">
        <v>7868</v>
      </c>
      <c r="J12">
        <v>6666</v>
      </c>
      <c r="K12">
        <v>0</v>
      </c>
      <c r="L12">
        <v>18</v>
      </c>
      <c r="M12">
        <v>4.3710000000000004</v>
      </c>
      <c r="N12">
        <v>741</v>
      </c>
      <c r="O12">
        <v>177516</v>
      </c>
      <c r="P12">
        <f>N12+($F$2*$E$2)</f>
        <v>176553</v>
      </c>
      <c r="Q12">
        <f>1000/(T12-M12)</f>
        <v>63.983620193230536</v>
      </c>
      <c r="R12">
        <f>U12*Q12</f>
        <v>63.983620193230536</v>
      </c>
      <c r="S12">
        <f>Q12*10^6/P12</f>
        <v>362.40460481119288</v>
      </c>
      <c r="T12">
        <v>20</v>
      </c>
      <c r="U12">
        <v>1</v>
      </c>
    </row>
    <row r="14" spans="1:21" x14ac:dyDescent="0.45">
      <c r="A14" t="s">
        <v>43</v>
      </c>
      <c r="B14" t="s">
        <v>44</v>
      </c>
      <c r="C14" t="s">
        <v>45</v>
      </c>
      <c r="D14">
        <v>9</v>
      </c>
      <c r="E14">
        <v>1.4257388114929199</v>
      </c>
      <c r="F14">
        <v>1.19404304027557</v>
      </c>
      <c r="G14">
        <v>0.99498183171382704</v>
      </c>
      <c r="H14">
        <v>46.5904038188689</v>
      </c>
      <c r="I14">
        <v>4720</v>
      </c>
      <c r="J14">
        <v>12233</v>
      </c>
      <c r="K14">
        <v>0</v>
      </c>
      <c r="L14">
        <v>0</v>
      </c>
      <c r="M14">
        <v>6.6669999999999998</v>
      </c>
      <c r="N14">
        <v>1481</v>
      </c>
      <c r="O14">
        <v>179220</v>
      </c>
      <c r="P14">
        <f t="shared" ref="P14:P15" si="1">N14+($F$2*$E$2)</f>
        <v>177293</v>
      </c>
      <c r="Q14">
        <f t="shared" ref="Q14:Q15" si="2">1000/(T14-M14)</f>
        <v>75.001875046876165</v>
      </c>
      <c r="R14">
        <f t="shared" ref="R14:R15" si="3">U14*Q14</f>
        <v>75.001875046876165</v>
      </c>
      <c r="S14">
        <f t="shared" ref="S14:S15" si="4">Q14*10^6/P14</f>
        <v>423.03912194433036</v>
      </c>
      <c r="T14">
        <v>20</v>
      </c>
      <c r="U14">
        <v>1</v>
      </c>
    </row>
    <row r="15" spans="1:21" x14ac:dyDescent="0.45">
      <c r="A15" t="s">
        <v>46</v>
      </c>
      <c r="B15" t="s">
        <v>47</v>
      </c>
      <c r="C15" t="s">
        <v>48</v>
      </c>
      <c r="D15">
        <v>1</v>
      </c>
      <c r="E15" s="9">
        <v>9.1006302682217197E-5</v>
      </c>
      <c r="F15">
        <v>9.5397224649786897E-3</v>
      </c>
      <c r="G15">
        <v>0.99999831656688998</v>
      </c>
      <c r="H15">
        <v>88.540086293005203</v>
      </c>
      <c r="I15">
        <v>23007</v>
      </c>
      <c r="J15">
        <v>30705</v>
      </c>
      <c r="K15">
        <v>0</v>
      </c>
      <c r="L15">
        <v>34</v>
      </c>
      <c r="M15">
        <v>1.026</v>
      </c>
      <c r="N15">
        <v>1490</v>
      </c>
      <c r="O15">
        <v>179229</v>
      </c>
      <c r="P15">
        <f t="shared" si="1"/>
        <v>177302</v>
      </c>
      <c r="Q15">
        <f t="shared" si="2"/>
        <v>52.703699799725939</v>
      </c>
      <c r="R15">
        <f t="shared" si="3"/>
        <v>52.703699799725939</v>
      </c>
      <c r="S15">
        <f t="shared" si="4"/>
        <v>297.25383695460818</v>
      </c>
      <c r="T15">
        <v>20</v>
      </c>
      <c r="U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6F9DE-7294-4F63-B454-0AE0FA8CE3D6}">
  <dimension ref="A1:U22"/>
  <sheetViews>
    <sheetView topLeftCell="B1" workbookViewId="0">
      <selection activeCell="N7" sqref="N7:O15"/>
    </sheetView>
  </sheetViews>
  <sheetFormatPr defaultRowHeight="14.25" x14ac:dyDescent="0.45"/>
  <cols>
    <col min="1" max="1" width="20.86328125" customWidth="1"/>
    <col min="2" max="2" width="9.33203125" bestFit="1" customWidth="1"/>
    <col min="3" max="3" width="15.3984375" customWidth="1"/>
    <col min="7" max="7" width="10.53125" bestFit="1" customWidth="1"/>
    <col min="15" max="15" width="10.53125" bestFit="1" customWidth="1"/>
    <col min="16" max="16" width="19.1328125" bestFit="1" customWidth="1"/>
    <col min="17" max="17" width="14.796875" bestFit="1" customWidth="1"/>
    <col min="18" max="18" width="29.796875" bestFit="1" customWidth="1"/>
    <col min="19" max="19" width="12" bestFit="1" customWidth="1"/>
    <col min="20" max="20" width="11" bestFit="1" customWidth="1"/>
    <col min="21" max="21" width="14" bestFit="1" customWidth="1"/>
  </cols>
  <sheetData>
    <row r="1" spans="1:21" x14ac:dyDescent="0.45">
      <c r="B1" t="s">
        <v>12</v>
      </c>
      <c r="C1" t="s">
        <v>13</v>
      </c>
      <c r="D1" t="s">
        <v>14</v>
      </c>
      <c r="E1" t="s">
        <v>25</v>
      </c>
      <c r="F1" t="s">
        <v>26</v>
      </c>
    </row>
    <row r="2" spans="1:21" s="1" customFormat="1" x14ac:dyDescent="0.45">
      <c r="A2" t="s">
        <v>34</v>
      </c>
      <c r="B2" s="1" t="s">
        <v>35</v>
      </c>
      <c r="C2" s="1" t="s">
        <v>50</v>
      </c>
      <c r="D2" s="1" t="s">
        <v>35</v>
      </c>
      <c r="E2" s="1">
        <v>364</v>
      </c>
      <c r="F2" s="1">
        <v>483</v>
      </c>
    </row>
    <row r="3" spans="1:21" x14ac:dyDescent="0.45">
      <c r="C3" s="1" t="s">
        <v>51</v>
      </c>
    </row>
    <row r="6" spans="1:21" x14ac:dyDescent="0.45">
      <c r="D6" s="2" t="s">
        <v>3</v>
      </c>
      <c r="E6" s="3"/>
      <c r="F6" s="3"/>
      <c r="G6" s="3"/>
      <c r="H6" s="3"/>
      <c r="I6" s="5" t="s">
        <v>8</v>
      </c>
      <c r="J6" s="5"/>
      <c r="K6" s="4"/>
      <c r="L6" s="4"/>
      <c r="M6" s="6" t="s">
        <v>9</v>
      </c>
      <c r="N6" s="7"/>
      <c r="O6" s="7"/>
      <c r="P6" s="7"/>
      <c r="Q6" s="7"/>
      <c r="R6" s="7"/>
      <c r="S6" s="7"/>
      <c r="T6" s="8"/>
      <c r="U6" s="8"/>
    </row>
    <row r="7" spans="1:21" x14ac:dyDescent="0.45">
      <c r="A7" s="1"/>
      <c r="B7" s="1" t="s">
        <v>1</v>
      </c>
      <c r="C7" s="1" t="s">
        <v>2</v>
      </c>
      <c r="D7" s="1" t="s">
        <v>7</v>
      </c>
      <c r="E7" s="1" t="s">
        <v>4</v>
      </c>
      <c r="F7" s="1" t="s">
        <v>5</v>
      </c>
      <c r="G7" s="1" t="s">
        <v>6</v>
      </c>
      <c r="H7" s="1" t="s">
        <v>28</v>
      </c>
      <c r="I7" s="1" t="s">
        <v>15</v>
      </c>
      <c r="J7" s="1" t="s">
        <v>16</v>
      </c>
      <c r="K7" s="1" t="s">
        <v>17</v>
      </c>
      <c r="L7" s="1" t="s">
        <v>18</v>
      </c>
      <c r="M7" s="1" t="s">
        <v>19</v>
      </c>
      <c r="N7" s="1" t="s">
        <v>10</v>
      </c>
      <c r="O7" s="1" t="s">
        <v>11</v>
      </c>
      <c r="P7" s="1" t="s">
        <v>24</v>
      </c>
      <c r="Q7" s="1" t="s">
        <v>21</v>
      </c>
      <c r="R7" s="1" t="s">
        <v>27</v>
      </c>
      <c r="S7" s="1" t="s">
        <v>22</v>
      </c>
      <c r="T7" s="1" t="s">
        <v>20</v>
      </c>
      <c r="U7" s="1" t="s">
        <v>23</v>
      </c>
    </row>
    <row r="8" spans="1:21" x14ac:dyDescent="0.45">
      <c r="A8" t="s">
        <v>52</v>
      </c>
      <c r="B8" t="s">
        <v>53</v>
      </c>
      <c r="C8" t="s">
        <v>54</v>
      </c>
      <c r="D8">
        <v>0</v>
      </c>
      <c r="E8">
        <v>0</v>
      </c>
      <c r="F8">
        <v>0</v>
      </c>
      <c r="G8">
        <v>1</v>
      </c>
      <c r="H8" t="s">
        <v>49</v>
      </c>
      <c r="I8">
        <v>4674</v>
      </c>
      <c r="J8">
        <v>12173</v>
      </c>
      <c r="K8">
        <v>0</v>
      </c>
      <c r="L8">
        <v>0</v>
      </c>
      <c r="M8">
        <v>2.1920000000000002</v>
      </c>
      <c r="N8">
        <v>1479</v>
      </c>
      <c r="O8">
        <v>179218</v>
      </c>
      <c r="P8">
        <f>N8+($F$2*$E$2)</f>
        <v>177291</v>
      </c>
      <c r="Q8">
        <f>1000/(T8-M8)</f>
        <v>56.154537286612758</v>
      </c>
      <c r="R8">
        <f>U8*Q8</f>
        <v>56.154537286612758</v>
      </c>
      <c r="S8">
        <f>Q8*10^6/P8</f>
        <v>316.73653646610802</v>
      </c>
      <c r="T8">
        <v>20</v>
      </c>
      <c r="U8">
        <v>1</v>
      </c>
    </row>
    <row r="9" spans="1:21" x14ac:dyDescent="0.45">
      <c r="A9" t="s">
        <v>55</v>
      </c>
      <c r="B9" t="s">
        <v>56</v>
      </c>
      <c r="C9" t="s">
        <v>57</v>
      </c>
      <c r="D9">
        <v>0</v>
      </c>
      <c r="E9">
        <v>0</v>
      </c>
      <c r="F9">
        <v>0</v>
      </c>
      <c r="G9">
        <v>1</v>
      </c>
      <c r="H9" t="s">
        <v>49</v>
      </c>
      <c r="I9">
        <v>32232</v>
      </c>
      <c r="J9">
        <v>14556</v>
      </c>
      <c r="K9">
        <v>0</v>
      </c>
      <c r="L9">
        <v>66</v>
      </c>
      <c r="M9">
        <v>0.97499999999999998</v>
      </c>
      <c r="N9">
        <v>1485</v>
      </c>
      <c r="O9">
        <v>179224</v>
      </c>
      <c r="P9">
        <f>N9+($F$2*$E$2)</f>
        <v>177297</v>
      </c>
      <c r="Q9">
        <f>1000/(T9-M9)</f>
        <v>52.562417871222081</v>
      </c>
      <c r="R9">
        <f>U9*Q9</f>
        <v>52.562417871222081</v>
      </c>
      <c r="S9">
        <f>Q9*10^6/P9</f>
        <v>296.46535401739499</v>
      </c>
      <c r="T9">
        <v>20</v>
      </c>
      <c r="U9">
        <v>1</v>
      </c>
    </row>
    <row r="11" spans="1:21" x14ac:dyDescent="0.45">
      <c r="A11" t="s">
        <v>58</v>
      </c>
      <c r="B11" t="s">
        <v>59</v>
      </c>
      <c r="C11" t="s">
        <v>60</v>
      </c>
      <c r="D11">
        <v>5</v>
      </c>
      <c r="E11">
        <v>0.56597387790679898</v>
      </c>
      <c r="F11">
        <v>0.75231236219406095</v>
      </c>
      <c r="G11">
        <v>0.998973231855382</v>
      </c>
      <c r="H11">
        <v>50.602839731954802</v>
      </c>
      <c r="I11">
        <v>4540</v>
      </c>
      <c r="J11">
        <v>12173</v>
      </c>
      <c r="K11">
        <v>0</v>
      </c>
      <c r="L11">
        <v>0</v>
      </c>
      <c r="M11">
        <v>5.16</v>
      </c>
      <c r="N11">
        <v>1479</v>
      </c>
      <c r="O11">
        <v>179218</v>
      </c>
      <c r="P11">
        <f>N11+($F$2*$E$2)</f>
        <v>177291</v>
      </c>
      <c r="Q11">
        <f>1000/(T11-M11)</f>
        <v>67.385444743935309</v>
      </c>
      <c r="R11">
        <f t="shared" ref="R11" si="0">U11*Q11</f>
        <v>67.385444743935309</v>
      </c>
      <c r="S11">
        <f>Q11*10^6/P11</f>
        <v>380.08384375932968</v>
      </c>
      <c r="T11">
        <v>20</v>
      </c>
      <c r="U11">
        <v>1</v>
      </c>
    </row>
    <row r="12" spans="1:21" x14ac:dyDescent="0.45">
      <c r="A12" t="s">
        <v>61</v>
      </c>
      <c r="B12" t="s">
        <v>62</v>
      </c>
      <c r="C12" t="s">
        <v>63</v>
      </c>
      <c r="D12">
        <v>1</v>
      </c>
      <c r="E12" s="9">
        <v>9.6694195235613706E-5</v>
      </c>
      <c r="F12">
        <v>9.8333209753036499E-3</v>
      </c>
      <c r="G12">
        <v>0.99999932610819697</v>
      </c>
      <c r="H12">
        <v>88.276799702429102</v>
      </c>
      <c r="I12">
        <v>21192</v>
      </c>
      <c r="J12">
        <v>13738</v>
      </c>
      <c r="K12">
        <v>0</v>
      </c>
      <c r="L12">
        <v>50</v>
      </c>
      <c r="M12">
        <v>4.1660000000000004</v>
      </c>
      <c r="N12">
        <v>1484</v>
      </c>
      <c r="O12">
        <v>179223</v>
      </c>
      <c r="P12">
        <f>N12+($F$2*$E$2)</f>
        <v>177296</v>
      </c>
      <c r="Q12">
        <f>1000/(T12-M12)</f>
        <v>63.155235569028676</v>
      </c>
      <c r="R12">
        <f>U12*Q12</f>
        <v>63.155235569028676</v>
      </c>
      <c r="S12">
        <f>Q12*10^6/P12</f>
        <v>356.21353876584175</v>
      </c>
      <c r="T12">
        <v>20</v>
      </c>
      <c r="U12">
        <v>1</v>
      </c>
    </row>
    <row r="14" spans="1:21" x14ac:dyDescent="0.45">
      <c r="A14" t="s">
        <v>64</v>
      </c>
      <c r="B14" t="s">
        <v>65</v>
      </c>
      <c r="C14" t="s">
        <v>66</v>
      </c>
      <c r="D14">
        <v>6</v>
      </c>
      <c r="E14">
        <v>0.75704163312911898</v>
      </c>
      <c r="F14">
        <v>0.87008136510848999</v>
      </c>
      <c r="G14">
        <v>0.99801902409075405</v>
      </c>
      <c r="H14">
        <v>49.339605951093901</v>
      </c>
      <c r="I14">
        <v>9036</v>
      </c>
      <c r="J14">
        <v>24482</v>
      </c>
      <c r="K14">
        <v>0</v>
      </c>
      <c r="L14">
        <v>0</v>
      </c>
      <c r="M14">
        <v>2.3330000000000002</v>
      </c>
      <c r="N14">
        <v>2989</v>
      </c>
      <c r="O14">
        <v>182656</v>
      </c>
      <c r="P14">
        <f t="shared" ref="P14:P15" si="1">N14+($F$2*$E$2)</f>
        <v>178801</v>
      </c>
      <c r="Q14">
        <f t="shared" ref="Q14:Q15" si="2">1000/(T14-M14)</f>
        <v>56.602705609328119</v>
      </c>
      <c r="R14">
        <f>U14*Q14</f>
        <v>56.602705609328119</v>
      </c>
      <c r="S14">
        <f t="shared" ref="S14:S15" si="3">Q14*10^6/P14</f>
        <v>316.56817137112279</v>
      </c>
      <c r="T14">
        <v>20</v>
      </c>
      <c r="U14">
        <v>1</v>
      </c>
    </row>
    <row r="15" spans="1:21" x14ac:dyDescent="0.45">
      <c r="A15" t="s">
        <v>67</v>
      </c>
      <c r="B15" t="s">
        <v>68</v>
      </c>
      <c r="C15" t="s">
        <v>69</v>
      </c>
      <c r="D15">
        <v>1</v>
      </c>
      <c r="E15" s="9">
        <v>5.6878939176385697E-6</v>
      </c>
      <c r="F15">
        <v>2.3849306162446698E-3</v>
      </c>
      <c r="G15">
        <v>0.99999999661858296</v>
      </c>
      <c r="H15">
        <v>100.58128883817101</v>
      </c>
      <c r="I15" s="10">
        <v>59267</v>
      </c>
      <c r="J15" s="10">
        <v>64667</v>
      </c>
      <c r="K15" s="10">
        <v>0</v>
      </c>
      <c r="L15" s="10">
        <v>118</v>
      </c>
      <c r="M15">
        <v>-1.27</v>
      </c>
      <c r="N15">
        <v>3001</v>
      </c>
      <c r="O15">
        <v>182668</v>
      </c>
      <c r="P15">
        <f t="shared" si="1"/>
        <v>178813</v>
      </c>
      <c r="Q15">
        <f t="shared" si="2"/>
        <v>47.014574518100609</v>
      </c>
      <c r="R15">
        <f t="shared" ref="R15" si="4">U15*Q15</f>
        <v>47.014574518100609</v>
      </c>
      <c r="S15">
        <f t="shared" si="3"/>
        <v>262.92593110176898</v>
      </c>
      <c r="T15">
        <v>20</v>
      </c>
      <c r="U15">
        <v>1</v>
      </c>
    </row>
    <row r="17" spans="3:21" x14ac:dyDescent="0.45">
      <c r="H17" t="s">
        <v>70</v>
      </c>
      <c r="I17">
        <v>134600</v>
      </c>
      <c r="J17">
        <v>269200</v>
      </c>
      <c r="L17">
        <v>740</v>
      </c>
    </row>
    <row r="19" spans="3:21" x14ac:dyDescent="0.45">
      <c r="C19" s="1"/>
    </row>
    <row r="21" spans="3:21" x14ac:dyDescent="0.45">
      <c r="D21" s="1"/>
      <c r="I21" s="1"/>
      <c r="J21" s="1"/>
      <c r="M21" s="1"/>
    </row>
    <row r="22" spans="3:21" x14ac:dyDescent="0.45"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A8362-C903-4EAC-989F-82DE12D14961}">
  <dimension ref="A1:Y37"/>
  <sheetViews>
    <sheetView workbookViewId="0">
      <selection activeCell="Q8" sqref="Q8"/>
    </sheetView>
  </sheetViews>
  <sheetFormatPr defaultRowHeight="14.25" x14ac:dyDescent="0.45"/>
  <sheetData>
    <row r="1" spans="1:25" x14ac:dyDescent="0.45">
      <c r="V1" s="11"/>
    </row>
    <row r="2" spans="1:25" x14ac:dyDescent="0.45">
      <c r="V2" s="11"/>
    </row>
    <row r="3" spans="1:25" x14ac:dyDescent="0.45">
      <c r="A3" s="1" t="s">
        <v>71</v>
      </c>
      <c r="V3" s="11"/>
    </row>
    <row r="5" spans="1:25" x14ac:dyDescent="0.45">
      <c r="V5">
        <v>63400</v>
      </c>
      <c r="W5">
        <v>126800</v>
      </c>
      <c r="X5">
        <v>240</v>
      </c>
    </row>
    <row r="6" spans="1:25" x14ac:dyDescent="0.45">
      <c r="A6" s="1"/>
      <c r="B6" s="1" t="s">
        <v>3</v>
      </c>
      <c r="C6" s="1"/>
      <c r="D6" s="1"/>
      <c r="E6" s="1"/>
      <c r="F6" s="1"/>
      <c r="G6" s="1" t="s">
        <v>8</v>
      </c>
      <c r="H6" s="1"/>
      <c r="I6" s="1"/>
      <c r="J6" s="1"/>
      <c r="K6" s="1" t="s">
        <v>9</v>
      </c>
      <c r="L6" s="1"/>
      <c r="M6" s="1"/>
      <c r="N6" s="1"/>
      <c r="O6" s="1"/>
      <c r="P6" s="1"/>
      <c r="Q6" s="1"/>
      <c r="R6" s="1"/>
      <c r="S6" s="1"/>
    </row>
    <row r="7" spans="1:25" x14ac:dyDescent="0.45">
      <c r="A7" s="1"/>
      <c r="B7" s="1" t="s">
        <v>7</v>
      </c>
      <c r="C7" s="1" t="s">
        <v>4</v>
      </c>
      <c r="D7" s="1" t="s">
        <v>5</v>
      </c>
      <c r="E7" s="1" t="s">
        <v>6</v>
      </c>
      <c r="F7" s="1" t="s">
        <v>28</v>
      </c>
      <c r="G7" s="1" t="s">
        <v>15</v>
      </c>
      <c r="H7" s="1" t="s">
        <v>16</v>
      </c>
      <c r="I7" s="1" t="s">
        <v>17</v>
      </c>
      <c r="J7" s="1" t="s">
        <v>18</v>
      </c>
      <c r="K7" s="1" t="s">
        <v>19</v>
      </c>
      <c r="L7" s="1" t="s">
        <v>10</v>
      </c>
      <c r="M7" s="1" t="s">
        <v>11</v>
      </c>
      <c r="N7" s="1" t="s">
        <v>24</v>
      </c>
      <c r="O7" s="1" t="s">
        <v>21</v>
      </c>
      <c r="P7" s="1" t="s">
        <v>27</v>
      </c>
      <c r="Q7" s="1" t="s">
        <v>22</v>
      </c>
      <c r="R7" s="1" t="s">
        <v>20</v>
      </c>
      <c r="S7" s="1" t="s">
        <v>23</v>
      </c>
      <c r="V7" s="1" t="s">
        <v>73</v>
      </c>
      <c r="W7" s="1" t="s">
        <v>74</v>
      </c>
      <c r="X7" s="1" t="s">
        <v>75</v>
      </c>
      <c r="Y7" s="1" t="s">
        <v>76</v>
      </c>
    </row>
    <row r="8" spans="1:25" x14ac:dyDescent="0.45">
      <c r="A8" t="s">
        <v>0</v>
      </c>
      <c r="B8">
        <v>0</v>
      </c>
      <c r="C8">
        <v>0</v>
      </c>
      <c r="D8">
        <v>0</v>
      </c>
      <c r="E8">
        <v>1</v>
      </c>
      <c r="F8" t="s">
        <v>49</v>
      </c>
      <c r="G8">
        <v>2342</v>
      </c>
      <c r="H8">
        <v>6092</v>
      </c>
      <c r="I8">
        <v>0</v>
      </c>
      <c r="J8">
        <v>0</v>
      </c>
      <c r="K8">
        <v>6.59</v>
      </c>
      <c r="L8">
        <v>737</v>
      </c>
      <c r="M8">
        <v>177512</v>
      </c>
      <c r="N8">
        <v>176549</v>
      </c>
      <c r="O8">
        <v>74.57121551081282</v>
      </c>
      <c r="P8">
        <v>74.57121551081282</v>
      </c>
      <c r="Q8">
        <v>422.3825425848508</v>
      </c>
      <c r="R8">
        <v>20</v>
      </c>
      <c r="S8">
        <v>1</v>
      </c>
      <c r="V8">
        <f>(G8/$V$5)*100</f>
        <v>3.6940063091482651</v>
      </c>
      <c r="W8">
        <f>(H8/$W$5)*100</f>
        <v>4.8044164037854884</v>
      </c>
      <c r="X8">
        <f>(J8/$X$5)*100</f>
        <v>0</v>
      </c>
      <c r="Y8">
        <f>(P8/G8)*1000</f>
        <v>31.840826435018283</v>
      </c>
    </row>
    <row r="9" spans="1:25" x14ac:dyDescent="0.45">
      <c r="A9" t="s">
        <v>29</v>
      </c>
      <c r="B9">
        <v>0</v>
      </c>
      <c r="C9">
        <v>0</v>
      </c>
      <c r="D9">
        <v>0</v>
      </c>
      <c r="E9">
        <v>1</v>
      </c>
      <c r="F9" t="s">
        <v>49</v>
      </c>
      <c r="G9">
        <v>10027</v>
      </c>
      <c r="H9">
        <v>6716</v>
      </c>
      <c r="J9">
        <v>14</v>
      </c>
      <c r="K9">
        <v>0.49299999999999999</v>
      </c>
      <c r="L9">
        <v>741</v>
      </c>
      <c r="M9">
        <v>177516</v>
      </c>
      <c r="N9">
        <v>176553</v>
      </c>
      <c r="O9">
        <v>51.263648946532008</v>
      </c>
      <c r="P9">
        <v>51.263648946532008</v>
      </c>
      <c r="Q9">
        <v>290.3584133179952</v>
      </c>
      <c r="R9">
        <v>20</v>
      </c>
      <c r="S9">
        <v>1</v>
      </c>
      <c r="V9">
        <f t="shared" ref="V9:V29" si="0">(G9/$V$5)*100</f>
        <v>15.815457413249213</v>
      </c>
      <c r="W9">
        <f t="shared" ref="W9:W29" si="1">(H9/$W$5)*100</f>
        <v>5.2965299684542586</v>
      </c>
      <c r="X9">
        <f t="shared" ref="X9:X29" si="2">(J9/$X$5)*100</f>
        <v>5.833333333333333</v>
      </c>
      <c r="Y9">
        <f t="shared" ref="Y9:Y30" si="3">(P9/G9)*1000</f>
        <v>5.1125609800071814</v>
      </c>
    </row>
    <row r="10" spans="1:25" x14ac:dyDescent="0.45">
      <c r="V10">
        <f t="shared" si="0"/>
        <v>0</v>
      </c>
      <c r="W10">
        <f t="shared" si="1"/>
        <v>0</v>
      </c>
      <c r="X10">
        <f t="shared" si="2"/>
        <v>0</v>
      </c>
    </row>
    <row r="11" spans="1:25" x14ac:dyDescent="0.45">
      <c r="A11" t="s">
        <v>40</v>
      </c>
      <c r="B11">
        <v>14</v>
      </c>
      <c r="C11">
        <v>1.9493209123611399</v>
      </c>
      <c r="D11">
        <v>1.3961808681487999</v>
      </c>
      <c r="E11">
        <v>0.99740998193323904</v>
      </c>
      <c r="F11">
        <v>45.2319700954192</v>
      </c>
      <c r="G11">
        <v>2317</v>
      </c>
      <c r="H11">
        <v>6093</v>
      </c>
      <c r="I11">
        <v>0</v>
      </c>
      <c r="J11">
        <v>0</v>
      </c>
      <c r="K11">
        <v>6.58</v>
      </c>
      <c r="L11">
        <v>737</v>
      </c>
      <c r="M11">
        <v>177512</v>
      </c>
      <c r="N11">
        <v>176549</v>
      </c>
      <c r="O11">
        <v>74.515648286140092</v>
      </c>
      <c r="P11">
        <v>74.515648286140092</v>
      </c>
      <c r="Q11">
        <v>422.06780149499627</v>
      </c>
      <c r="R11">
        <v>20</v>
      </c>
      <c r="S11">
        <v>1</v>
      </c>
      <c r="V11">
        <f t="shared" si="0"/>
        <v>3.6545741324921139</v>
      </c>
      <c r="W11">
        <f t="shared" si="1"/>
        <v>4.8052050473186121</v>
      </c>
      <c r="X11">
        <f t="shared" si="2"/>
        <v>0</v>
      </c>
      <c r="Y11">
        <f t="shared" si="3"/>
        <v>32.16040064140703</v>
      </c>
    </row>
    <row r="12" spans="1:25" x14ac:dyDescent="0.45">
      <c r="A12" t="s">
        <v>39</v>
      </c>
      <c r="B12">
        <v>1</v>
      </c>
      <c r="C12">
        <v>7.4852681718766603E-3</v>
      </c>
      <c r="D12">
        <v>8.6517445743083898E-2</v>
      </c>
      <c r="E12">
        <v>0.99991310098460395</v>
      </c>
      <c r="F12">
        <v>69.388730549597</v>
      </c>
      <c r="G12">
        <v>7868</v>
      </c>
      <c r="H12">
        <v>6666</v>
      </c>
      <c r="I12">
        <v>0</v>
      </c>
      <c r="J12">
        <v>18</v>
      </c>
      <c r="K12">
        <v>4.3710000000000004</v>
      </c>
      <c r="L12">
        <v>741</v>
      </c>
      <c r="M12">
        <v>177516</v>
      </c>
      <c r="N12">
        <v>176553</v>
      </c>
      <c r="O12">
        <v>63.983620193230536</v>
      </c>
      <c r="P12">
        <v>63.983620193230536</v>
      </c>
      <c r="Q12">
        <v>362.40460481119288</v>
      </c>
      <c r="R12">
        <v>20</v>
      </c>
      <c r="S12">
        <v>1</v>
      </c>
      <c r="V12">
        <f t="shared" si="0"/>
        <v>12.410094637223974</v>
      </c>
      <c r="W12">
        <f t="shared" si="1"/>
        <v>5.257097791798107</v>
      </c>
      <c r="X12">
        <f t="shared" si="2"/>
        <v>7.5</v>
      </c>
      <c r="Y12">
        <f t="shared" si="3"/>
        <v>8.1321327139337232</v>
      </c>
    </row>
    <row r="13" spans="1:25" x14ac:dyDescent="0.45">
      <c r="V13">
        <f t="shared" si="0"/>
        <v>0</v>
      </c>
      <c r="W13">
        <f t="shared" si="1"/>
        <v>0</v>
      </c>
      <c r="X13">
        <f t="shared" si="2"/>
        <v>0</v>
      </c>
    </row>
    <row r="14" spans="1:25" x14ac:dyDescent="0.45">
      <c r="A14" t="s">
        <v>43</v>
      </c>
      <c r="B14">
        <v>9</v>
      </c>
      <c r="C14">
        <v>1.4257388114929199</v>
      </c>
      <c r="D14">
        <v>1.19404304027557</v>
      </c>
      <c r="E14">
        <v>0.99498183171382704</v>
      </c>
      <c r="F14">
        <v>46.5904038188689</v>
      </c>
      <c r="G14">
        <v>4720</v>
      </c>
      <c r="H14">
        <v>12233</v>
      </c>
      <c r="I14">
        <v>0</v>
      </c>
      <c r="J14">
        <v>0</v>
      </c>
      <c r="K14">
        <v>6.6669999999999998</v>
      </c>
      <c r="L14">
        <v>1481</v>
      </c>
      <c r="M14">
        <v>179220</v>
      </c>
      <c r="N14">
        <v>177293</v>
      </c>
      <c r="O14">
        <v>75.001875046876165</v>
      </c>
      <c r="P14">
        <v>75.001875046876165</v>
      </c>
      <c r="Q14">
        <v>423.03912194433036</v>
      </c>
      <c r="R14">
        <v>20</v>
      </c>
      <c r="S14">
        <v>1</v>
      </c>
      <c r="V14">
        <f t="shared" si="0"/>
        <v>7.4447949526813879</v>
      </c>
      <c r="W14">
        <f t="shared" si="1"/>
        <v>9.6474763406940074</v>
      </c>
      <c r="X14">
        <f t="shared" si="2"/>
        <v>0</v>
      </c>
      <c r="Y14">
        <f t="shared" si="3"/>
        <v>15.89022776416868</v>
      </c>
    </row>
    <row r="15" spans="1:25" x14ac:dyDescent="0.45">
      <c r="A15" t="s">
        <v>46</v>
      </c>
      <c r="B15">
        <v>1</v>
      </c>
      <c r="C15">
        <v>9.1006302682217197E-5</v>
      </c>
      <c r="D15">
        <v>9.5397224649786897E-3</v>
      </c>
      <c r="E15">
        <v>0.99999831656688998</v>
      </c>
      <c r="F15">
        <v>88.540086293005203</v>
      </c>
      <c r="G15">
        <v>23007</v>
      </c>
      <c r="H15">
        <v>30705</v>
      </c>
      <c r="I15">
        <v>0</v>
      </c>
      <c r="J15">
        <v>34</v>
      </c>
      <c r="K15">
        <v>1.026</v>
      </c>
      <c r="L15">
        <v>1490</v>
      </c>
      <c r="M15">
        <v>179229</v>
      </c>
      <c r="N15">
        <v>177302</v>
      </c>
      <c r="O15">
        <v>52.703699799725939</v>
      </c>
      <c r="P15">
        <v>52.703699799725939</v>
      </c>
      <c r="Q15">
        <v>297.25383695460818</v>
      </c>
      <c r="R15">
        <v>20</v>
      </c>
      <c r="S15">
        <v>1</v>
      </c>
      <c r="V15">
        <f t="shared" si="0"/>
        <v>36.288643533123029</v>
      </c>
      <c r="W15">
        <f t="shared" si="1"/>
        <v>24.215299684542586</v>
      </c>
      <c r="X15">
        <f t="shared" si="2"/>
        <v>14.166666666666666</v>
      </c>
      <c r="Y15">
        <f t="shared" si="3"/>
        <v>2.2907680184172614</v>
      </c>
    </row>
    <row r="20" spans="1:25" x14ac:dyDescent="0.45">
      <c r="A20" s="1" t="s">
        <v>72</v>
      </c>
    </row>
    <row r="21" spans="1:25" x14ac:dyDescent="0.45">
      <c r="A21" s="1"/>
      <c r="B21" s="1" t="s">
        <v>3</v>
      </c>
      <c r="C21" s="1"/>
      <c r="D21" s="1"/>
      <c r="E21" s="1"/>
      <c r="F21" s="1"/>
      <c r="G21" s="1" t="s">
        <v>8</v>
      </c>
      <c r="H21" s="1"/>
      <c r="I21" s="1"/>
      <c r="J21" s="1"/>
      <c r="K21" s="1" t="s">
        <v>9</v>
      </c>
      <c r="L21" s="1"/>
      <c r="M21" s="1"/>
      <c r="N21" s="1"/>
      <c r="O21" s="1"/>
      <c r="P21" s="1"/>
      <c r="Q21" s="1"/>
      <c r="R21" s="1"/>
      <c r="S21" s="1"/>
    </row>
    <row r="22" spans="1:25" x14ac:dyDescent="0.45">
      <c r="A22" s="1"/>
      <c r="B22" s="1" t="s">
        <v>7</v>
      </c>
      <c r="C22" s="1" t="s">
        <v>4</v>
      </c>
      <c r="D22" s="1" t="s">
        <v>5</v>
      </c>
      <c r="E22" s="1" t="s">
        <v>6</v>
      </c>
      <c r="F22" s="1" t="s">
        <v>28</v>
      </c>
      <c r="G22" s="1" t="s">
        <v>15</v>
      </c>
      <c r="H22" s="1" t="s">
        <v>16</v>
      </c>
      <c r="I22" s="1" t="s">
        <v>17</v>
      </c>
      <c r="J22" s="1" t="s">
        <v>18</v>
      </c>
      <c r="K22" s="1" t="s">
        <v>19</v>
      </c>
      <c r="L22" s="1" t="s">
        <v>10</v>
      </c>
      <c r="M22" s="1" t="s">
        <v>11</v>
      </c>
      <c r="N22" s="1" t="s">
        <v>24</v>
      </c>
      <c r="O22" s="1" t="s">
        <v>21</v>
      </c>
      <c r="P22" s="1" t="s">
        <v>27</v>
      </c>
      <c r="Q22" s="1" t="s">
        <v>22</v>
      </c>
      <c r="R22" s="1" t="s">
        <v>20</v>
      </c>
      <c r="S22" s="1" t="s">
        <v>23</v>
      </c>
    </row>
    <row r="23" spans="1:25" x14ac:dyDescent="0.45">
      <c r="A23" t="s">
        <v>52</v>
      </c>
      <c r="B23">
        <v>0</v>
      </c>
      <c r="C23">
        <v>0</v>
      </c>
      <c r="D23">
        <v>0</v>
      </c>
      <c r="E23">
        <v>1</v>
      </c>
      <c r="F23" t="s">
        <v>49</v>
      </c>
      <c r="G23">
        <v>4674</v>
      </c>
      <c r="H23">
        <v>12173</v>
      </c>
      <c r="I23">
        <v>0</v>
      </c>
      <c r="J23">
        <v>0</v>
      </c>
      <c r="K23">
        <v>2.1920000000000002</v>
      </c>
      <c r="L23">
        <v>1479</v>
      </c>
      <c r="M23">
        <v>179218</v>
      </c>
      <c r="N23">
        <v>177291</v>
      </c>
      <c r="O23">
        <v>56.154537286612758</v>
      </c>
      <c r="P23">
        <v>56.154537286612758</v>
      </c>
      <c r="Q23">
        <v>316.73653646610802</v>
      </c>
      <c r="R23">
        <v>20</v>
      </c>
      <c r="S23">
        <v>1</v>
      </c>
      <c r="V23">
        <f>(G23/$V$5)*100</f>
        <v>7.3722397476340698</v>
      </c>
      <c r="W23">
        <f t="shared" si="1"/>
        <v>9.6001577287066251</v>
      </c>
      <c r="X23">
        <f t="shared" si="2"/>
        <v>0</v>
      </c>
      <c r="Y23">
        <f t="shared" si="3"/>
        <v>12.014235619728874</v>
      </c>
    </row>
    <row r="24" spans="1:25" x14ac:dyDescent="0.45">
      <c r="A24" t="s">
        <v>55</v>
      </c>
      <c r="B24">
        <v>0</v>
      </c>
      <c r="C24">
        <v>0</v>
      </c>
      <c r="D24">
        <v>0</v>
      </c>
      <c r="E24">
        <v>1</v>
      </c>
      <c r="F24" t="s">
        <v>49</v>
      </c>
      <c r="G24">
        <v>32232</v>
      </c>
      <c r="H24">
        <v>14556</v>
      </c>
      <c r="I24">
        <v>0</v>
      </c>
      <c r="J24">
        <v>66</v>
      </c>
      <c r="K24">
        <v>0.97499999999999998</v>
      </c>
      <c r="L24">
        <v>1485</v>
      </c>
      <c r="M24">
        <v>179224</v>
      </c>
      <c r="N24">
        <v>177297</v>
      </c>
      <c r="O24">
        <v>52.562417871222081</v>
      </c>
      <c r="P24">
        <v>52.562417871222081</v>
      </c>
      <c r="Q24">
        <v>296.46535401739499</v>
      </c>
      <c r="R24">
        <v>20</v>
      </c>
      <c r="S24">
        <v>1</v>
      </c>
      <c r="V24">
        <f>(G24/$V$5)*100</f>
        <v>50.839116719242902</v>
      </c>
      <c r="W24">
        <f t="shared" si="1"/>
        <v>11.4794952681388</v>
      </c>
      <c r="X24">
        <f t="shared" si="2"/>
        <v>27.500000000000004</v>
      </c>
      <c r="Y24">
        <f t="shared" si="3"/>
        <v>1.6307526021103895</v>
      </c>
    </row>
    <row r="25" spans="1:25" x14ac:dyDescent="0.45">
      <c r="V25">
        <f t="shared" si="0"/>
        <v>0</v>
      </c>
      <c r="W25">
        <f t="shared" si="1"/>
        <v>0</v>
      </c>
      <c r="X25">
        <f t="shared" si="2"/>
        <v>0</v>
      </c>
      <c r="Y25" t="e">
        <f t="shared" si="3"/>
        <v>#DIV/0!</v>
      </c>
    </row>
    <row r="26" spans="1:25" x14ac:dyDescent="0.45">
      <c r="A26" t="s">
        <v>58</v>
      </c>
      <c r="B26">
        <v>5</v>
      </c>
      <c r="C26">
        <v>0.56597387790679898</v>
      </c>
      <c r="D26">
        <v>0.75231236219406095</v>
      </c>
      <c r="E26">
        <v>0.998973231855382</v>
      </c>
      <c r="F26">
        <v>50.602839731954802</v>
      </c>
      <c r="G26">
        <v>4540</v>
      </c>
      <c r="H26">
        <v>12173</v>
      </c>
      <c r="I26">
        <v>0</v>
      </c>
      <c r="J26">
        <v>0</v>
      </c>
      <c r="K26">
        <v>5.16</v>
      </c>
      <c r="L26">
        <v>1479</v>
      </c>
      <c r="M26">
        <v>179218</v>
      </c>
      <c r="N26">
        <v>177291</v>
      </c>
      <c r="O26">
        <v>67.385444743935309</v>
      </c>
      <c r="P26">
        <v>67.385444743935309</v>
      </c>
      <c r="Q26">
        <v>380.08384375932968</v>
      </c>
      <c r="R26">
        <v>20</v>
      </c>
      <c r="S26">
        <v>1</v>
      </c>
      <c r="V26">
        <f t="shared" si="0"/>
        <v>7.1608832807570977</v>
      </c>
      <c r="W26">
        <f t="shared" si="1"/>
        <v>9.6001577287066251</v>
      </c>
      <c r="X26">
        <f t="shared" si="2"/>
        <v>0</v>
      </c>
      <c r="Y26">
        <f t="shared" si="3"/>
        <v>14.842608974435089</v>
      </c>
    </row>
    <row r="27" spans="1:25" x14ac:dyDescent="0.45">
      <c r="A27" t="s">
        <v>61</v>
      </c>
      <c r="B27">
        <v>1</v>
      </c>
      <c r="C27">
        <v>9.6694195235613706E-5</v>
      </c>
      <c r="D27">
        <v>9.8333209753036499E-3</v>
      </c>
      <c r="E27">
        <v>0.99999932610819697</v>
      </c>
      <c r="F27">
        <v>88.276799702429102</v>
      </c>
      <c r="G27">
        <v>21192</v>
      </c>
      <c r="H27">
        <v>13738</v>
      </c>
      <c r="I27">
        <v>0</v>
      </c>
      <c r="J27">
        <v>50</v>
      </c>
      <c r="K27">
        <v>4.1660000000000004</v>
      </c>
      <c r="L27">
        <v>1484</v>
      </c>
      <c r="M27">
        <v>179223</v>
      </c>
      <c r="N27">
        <v>177296</v>
      </c>
      <c r="O27">
        <v>63.155235569028676</v>
      </c>
      <c r="P27">
        <v>63.155235569028676</v>
      </c>
      <c r="Q27">
        <v>356.21353876584175</v>
      </c>
      <c r="R27">
        <v>20</v>
      </c>
      <c r="S27">
        <v>1</v>
      </c>
      <c r="V27">
        <f t="shared" si="0"/>
        <v>33.425867507886437</v>
      </c>
      <c r="W27">
        <f t="shared" si="1"/>
        <v>10.834384858044164</v>
      </c>
      <c r="X27">
        <f t="shared" si="2"/>
        <v>20.833333333333336</v>
      </c>
      <c r="Y27">
        <f t="shared" si="3"/>
        <v>2.9801451287763623</v>
      </c>
    </row>
    <row r="28" spans="1:25" x14ac:dyDescent="0.45">
      <c r="V28">
        <f t="shared" si="0"/>
        <v>0</v>
      </c>
      <c r="W28">
        <f t="shared" si="1"/>
        <v>0</v>
      </c>
      <c r="X28">
        <f t="shared" si="2"/>
        <v>0</v>
      </c>
      <c r="Y28" t="e">
        <f t="shared" si="3"/>
        <v>#DIV/0!</v>
      </c>
    </row>
    <row r="29" spans="1:25" x14ac:dyDescent="0.45">
      <c r="A29" t="s">
        <v>64</v>
      </c>
      <c r="B29">
        <v>6</v>
      </c>
      <c r="C29">
        <v>0.75704163312911898</v>
      </c>
      <c r="D29">
        <v>0.87008136510848999</v>
      </c>
      <c r="E29">
        <v>0.99801902409075405</v>
      </c>
      <c r="F29">
        <v>49.339605951093901</v>
      </c>
      <c r="G29">
        <v>9036</v>
      </c>
      <c r="H29">
        <v>24482</v>
      </c>
      <c r="I29">
        <v>0</v>
      </c>
      <c r="J29">
        <v>0</v>
      </c>
      <c r="K29">
        <v>2.3330000000000002</v>
      </c>
      <c r="L29">
        <v>2989</v>
      </c>
      <c r="M29">
        <v>182656</v>
      </c>
      <c r="N29">
        <v>178801</v>
      </c>
      <c r="O29">
        <v>56.602705609328119</v>
      </c>
      <c r="P29">
        <v>56.602705609328119</v>
      </c>
      <c r="Q29">
        <v>316.56817137112279</v>
      </c>
      <c r="R29">
        <v>20</v>
      </c>
      <c r="S29">
        <v>1</v>
      </c>
      <c r="V29">
        <f t="shared" si="0"/>
        <v>14.252365930599369</v>
      </c>
      <c r="W29">
        <f t="shared" si="1"/>
        <v>19.307570977917983</v>
      </c>
      <c r="X29">
        <f t="shared" si="2"/>
        <v>0</v>
      </c>
      <c r="Y29">
        <f t="shared" si="3"/>
        <v>6.2641329802266625</v>
      </c>
    </row>
    <row r="30" spans="1:25" x14ac:dyDescent="0.45">
      <c r="A30" t="s">
        <v>67</v>
      </c>
      <c r="B30">
        <v>1</v>
      </c>
      <c r="C30">
        <v>5.6878939176385697E-6</v>
      </c>
      <c r="D30">
        <v>2.3849306162446698E-3</v>
      </c>
      <c r="E30">
        <v>0.99999999661858296</v>
      </c>
      <c r="F30">
        <v>100.58128883817101</v>
      </c>
      <c r="G30" s="10">
        <v>59267</v>
      </c>
      <c r="H30" s="10">
        <v>64667</v>
      </c>
      <c r="I30" s="10">
        <v>0</v>
      </c>
      <c r="J30" s="10">
        <v>118</v>
      </c>
      <c r="K30" s="10">
        <v>-1.27</v>
      </c>
      <c r="L30">
        <v>3001</v>
      </c>
      <c r="M30">
        <v>182668</v>
      </c>
      <c r="N30">
        <v>178813</v>
      </c>
      <c r="O30">
        <v>47.014574518100609</v>
      </c>
      <c r="P30">
        <v>47.014574518100609</v>
      </c>
      <c r="Q30">
        <v>262.92593110176898</v>
      </c>
      <c r="R30">
        <v>20</v>
      </c>
      <c r="S30">
        <v>1</v>
      </c>
      <c r="V30">
        <f>(G30/V33)*100</f>
        <v>44.031946508172368</v>
      </c>
      <c r="W30">
        <f>(H30/W33)*100</f>
        <v>24.021916790490341</v>
      </c>
      <c r="X30">
        <f>(J30/X33)*100</f>
        <v>15.945945945945947</v>
      </c>
      <c r="Y30">
        <f t="shared" si="3"/>
        <v>0.79326732444869175</v>
      </c>
    </row>
    <row r="32" spans="1:25" x14ac:dyDescent="0.45">
      <c r="F32" t="s">
        <v>70</v>
      </c>
      <c r="G32">
        <v>134600</v>
      </c>
      <c r="H32">
        <v>269200</v>
      </c>
      <c r="J32">
        <v>740</v>
      </c>
    </row>
    <row r="33" spans="22:24" x14ac:dyDescent="0.45">
      <c r="V33" s="10">
        <v>134600</v>
      </c>
      <c r="W33" s="10">
        <v>269200</v>
      </c>
      <c r="X33" s="10">
        <v>740</v>
      </c>
    </row>
    <row r="35" spans="22:24" x14ac:dyDescent="0.45">
      <c r="V35" s="11"/>
    </row>
    <row r="36" spans="22:24" x14ac:dyDescent="0.45">
      <c r="V36" s="11"/>
    </row>
    <row r="37" spans="22:24" x14ac:dyDescent="0.45">
      <c r="V37" s="1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0C1A-78BE-40AF-9B44-483F6E6D262E}">
  <dimension ref="A3:X34"/>
  <sheetViews>
    <sheetView tabSelected="1" topLeftCell="A4" workbookViewId="0">
      <selection activeCell="I23" sqref="I23:I28"/>
    </sheetView>
  </sheetViews>
  <sheetFormatPr defaultRowHeight="14.25" x14ac:dyDescent="0.45"/>
  <cols>
    <col min="1" max="1" width="12.73046875" customWidth="1"/>
  </cols>
  <sheetData>
    <row r="3" spans="1:24" x14ac:dyDescent="0.45">
      <c r="P3" s="11"/>
    </row>
    <row r="4" spans="1:24" x14ac:dyDescent="0.45">
      <c r="P4" s="11"/>
    </row>
    <row r="5" spans="1:24" x14ac:dyDescent="0.45">
      <c r="A5" s="1" t="s">
        <v>71</v>
      </c>
      <c r="P5" s="11"/>
    </row>
    <row r="8" spans="1:24" x14ac:dyDescent="0.45">
      <c r="A8" s="1"/>
      <c r="B8" s="1" t="s">
        <v>8</v>
      </c>
      <c r="C8" s="1"/>
      <c r="D8" s="1"/>
      <c r="E8" s="1" t="s">
        <v>9</v>
      </c>
      <c r="F8" s="1"/>
      <c r="G8" s="1"/>
      <c r="H8" s="1"/>
      <c r="I8" s="1"/>
      <c r="J8" s="1"/>
      <c r="K8" s="1"/>
    </row>
    <row r="9" spans="1:24" x14ac:dyDescent="0.45">
      <c r="A9" s="1"/>
      <c r="B9" s="1" t="s">
        <v>15</v>
      </c>
      <c r="C9" s="1" t="s">
        <v>16</v>
      </c>
      <c r="D9" s="1" t="s">
        <v>18</v>
      </c>
      <c r="E9" s="1" t="s">
        <v>19</v>
      </c>
      <c r="F9" s="1" t="s">
        <v>24</v>
      </c>
      <c r="G9" s="1" t="s">
        <v>21</v>
      </c>
      <c r="H9" s="1" t="s">
        <v>27</v>
      </c>
      <c r="I9" s="1" t="s">
        <v>22</v>
      </c>
      <c r="J9" s="1" t="s">
        <v>20</v>
      </c>
      <c r="K9" s="1" t="s">
        <v>23</v>
      </c>
      <c r="N9" s="1" t="s">
        <v>73</v>
      </c>
      <c r="O9" s="1" t="s">
        <v>74</v>
      </c>
      <c r="P9" s="1" t="s">
        <v>75</v>
      </c>
      <c r="Q9" s="1" t="s">
        <v>76</v>
      </c>
      <c r="S9" s="1" t="s">
        <v>10</v>
      </c>
      <c r="T9" s="1" t="s">
        <v>11</v>
      </c>
      <c r="V9" s="1"/>
      <c r="W9" s="1"/>
    </row>
    <row r="10" spans="1:24" x14ac:dyDescent="0.45">
      <c r="A10" t="s">
        <v>0</v>
      </c>
      <c r="B10">
        <v>2340</v>
      </c>
      <c r="C10">
        <v>6092</v>
      </c>
      <c r="D10">
        <v>0</v>
      </c>
      <c r="E10">
        <v>5.101</v>
      </c>
      <c r="G10">
        <f>1000/(J10-E10)</f>
        <v>67.11859856366199</v>
      </c>
      <c r="H10">
        <f>G10*K10</f>
        <v>67.11859856366199</v>
      </c>
      <c r="I10">
        <f>(G10*10^6)/T10</f>
        <v>378.10738746485868</v>
      </c>
      <c r="J10">
        <v>20</v>
      </c>
      <c r="K10">
        <v>1</v>
      </c>
      <c r="N10">
        <f>(B10/$N$31)*100</f>
        <v>1.7384843982169391</v>
      </c>
      <c r="O10">
        <f>(C10/$O$31)*100</f>
        <v>2.263001485884101</v>
      </c>
      <c r="P10">
        <f>(D10/$P$31)*100</f>
        <v>0</v>
      </c>
      <c r="Q10">
        <f>(H10/B10)*1000</f>
        <v>28.683161779342733</v>
      </c>
      <c r="S10">
        <v>737</v>
      </c>
      <c r="T10">
        <v>177512</v>
      </c>
    </row>
    <row r="11" spans="1:24" x14ac:dyDescent="0.45">
      <c r="A11" t="s">
        <v>29</v>
      </c>
      <c r="B11">
        <v>10025</v>
      </c>
      <c r="C11">
        <v>6716</v>
      </c>
      <c r="D11">
        <v>14</v>
      </c>
      <c r="E11">
        <v>0.78900000000000003</v>
      </c>
      <c r="G11">
        <f t="shared" ref="G11:G15" si="0">1000/(J11-E11)</f>
        <v>52.053511009317582</v>
      </c>
      <c r="H11">
        <f t="shared" ref="H11:H15" si="1">G11*K11</f>
        <v>52.053511009317582</v>
      </c>
      <c r="I11">
        <f t="shared" ref="I11:I28" si="2">(G11*10^6)/T11</f>
        <v>293.23278470288642</v>
      </c>
      <c r="J11">
        <v>20</v>
      </c>
      <c r="K11">
        <v>1</v>
      </c>
      <c r="N11">
        <f>(B11/$N$31)*100</f>
        <v>7.447994056463596</v>
      </c>
      <c r="O11">
        <f>(C11/$O$31)*100</f>
        <v>2.4947994056463596</v>
      </c>
      <c r="P11">
        <f>(D11/$P$31)*100</f>
        <v>1.8918918918918921</v>
      </c>
      <c r="Q11">
        <f>(H11/B11)*1000</f>
        <v>5.1923701754930258</v>
      </c>
      <c r="S11">
        <v>741</v>
      </c>
      <c r="T11">
        <v>177516</v>
      </c>
    </row>
    <row r="12" spans="1:24" x14ac:dyDescent="0.45">
      <c r="A12" t="s">
        <v>40</v>
      </c>
      <c r="B12">
        <v>2316</v>
      </c>
      <c r="C12">
        <v>6093</v>
      </c>
      <c r="D12">
        <v>0</v>
      </c>
      <c r="E12">
        <v>7.0449999999999999</v>
      </c>
      <c r="G12">
        <f t="shared" si="0"/>
        <v>77.190274025472789</v>
      </c>
      <c r="H12">
        <f t="shared" si="1"/>
        <v>77.190274025472789</v>
      </c>
      <c r="I12">
        <f t="shared" si="2"/>
        <v>434.84538524422459</v>
      </c>
      <c r="J12">
        <v>20</v>
      </c>
      <c r="K12">
        <v>1</v>
      </c>
      <c r="N12">
        <f>(B12/$N$31)*100</f>
        <v>1.7206537890044578</v>
      </c>
      <c r="O12">
        <f>(C12/$O$31)*100</f>
        <v>2.263372956909361</v>
      </c>
      <c r="P12">
        <f>(D12/$P$31)*100</f>
        <v>0</v>
      </c>
      <c r="Q12">
        <f>(H12/B12)*1000</f>
        <v>33.329133862466662</v>
      </c>
      <c r="S12">
        <v>737</v>
      </c>
      <c r="T12">
        <v>177512</v>
      </c>
    </row>
    <row r="13" spans="1:24" x14ac:dyDescent="0.45">
      <c r="A13" t="s">
        <v>39</v>
      </c>
      <c r="B13">
        <v>7864</v>
      </c>
      <c r="C13">
        <v>6666</v>
      </c>
      <c r="D13">
        <v>18</v>
      </c>
      <c r="E13">
        <v>4.6340000000000003</v>
      </c>
      <c r="G13">
        <f t="shared" si="0"/>
        <v>65.078745281790972</v>
      </c>
      <c r="H13">
        <f t="shared" si="1"/>
        <v>65.078745281790972</v>
      </c>
      <c r="I13">
        <f t="shared" si="2"/>
        <v>366.60777215457182</v>
      </c>
      <c r="J13">
        <v>20</v>
      </c>
      <c r="K13">
        <v>1</v>
      </c>
      <c r="N13">
        <f>(B13/$N$31)*100</f>
        <v>5.8424962852897471</v>
      </c>
      <c r="O13">
        <f>(C13/$O$31)*100</f>
        <v>2.4762258543833582</v>
      </c>
      <c r="P13">
        <f>(D13/$P$31)*100</f>
        <v>2.4324324324324325</v>
      </c>
      <c r="Q13">
        <f>(H13/B13)*1000</f>
        <v>8.2755271212857284</v>
      </c>
      <c r="S13">
        <v>741</v>
      </c>
      <c r="T13">
        <v>177516</v>
      </c>
      <c r="X13" s="1"/>
    </row>
    <row r="14" spans="1:24" x14ac:dyDescent="0.45">
      <c r="A14" t="s">
        <v>43</v>
      </c>
      <c r="B14">
        <v>4721</v>
      </c>
      <c r="C14">
        <v>12233</v>
      </c>
      <c r="D14">
        <v>0</v>
      </c>
      <c r="E14">
        <v>6.819</v>
      </c>
      <c r="G14">
        <f t="shared" si="0"/>
        <v>75.866777937940967</v>
      </c>
      <c r="H14">
        <f t="shared" si="1"/>
        <v>75.866777937940967</v>
      </c>
      <c r="I14">
        <f t="shared" si="2"/>
        <v>423.31647102968958</v>
      </c>
      <c r="J14">
        <v>20</v>
      </c>
      <c r="K14">
        <v>1</v>
      </c>
      <c r="N14">
        <f>(B14/$N$31)*100</f>
        <v>3.507429420505201</v>
      </c>
      <c r="O14">
        <f>(C14/$O$31)*100</f>
        <v>4.5442050520059434</v>
      </c>
      <c r="P14">
        <f>(D14/$P$31)*100</f>
        <v>0</v>
      </c>
      <c r="Q14">
        <f>(H14/B14)*1000</f>
        <v>16.070065227269851</v>
      </c>
      <c r="S14">
        <v>1481</v>
      </c>
      <c r="T14">
        <v>179220</v>
      </c>
    </row>
    <row r="15" spans="1:24" x14ac:dyDescent="0.45">
      <c r="A15" t="s">
        <v>46</v>
      </c>
      <c r="B15">
        <v>23008</v>
      </c>
      <c r="C15">
        <v>30705</v>
      </c>
      <c r="D15">
        <v>34</v>
      </c>
      <c r="E15">
        <v>1.07</v>
      </c>
      <c r="G15">
        <f t="shared" si="0"/>
        <v>52.826201796090864</v>
      </c>
      <c r="H15">
        <f t="shared" si="1"/>
        <v>52.826201796090864</v>
      </c>
      <c r="I15">
        <f t="shared" si="2"/>
        <v>294.74137442094116</v>
      </c>
      <c r="J15">
        <v>20</v>
      </c>
      <c r="K15">
        <v>1</v>
      </c>
      <c r="N15">
        <f>(B15/$N$31)*100</f>
        <v>17.093610698365527</v>
      </c>
      <c r="O15">
        <f>(C15/$O$31)*100</f>
        <v>11.406017830609212</v>
      </c>
      <c r="P15">
        <f>(D15/$P$31)*100</f>
        <v>4.5945945945945947</v>
      </c>
      <c r="Q15">
        <f>(H15/B15)*1000</f>
        <v>2.2959927762556878</v>
      </c>
      <c r="S15">
        <v>1490</v>
      </c>
      <c r="T15">
        <v>179229</v>
      </c>
    </row>
    <row r="20" spans="1:23" x14ac:dyDescent="0.45">
      <c r="A20" s="1" t="s">
        <v>72</v>
      </c>
    </row>
    <row r="21" spans="1:23" x14ac:dyDescent="0.45">
      <c r="A21" s="1"/>
      <c r="B21" s="1"/>
      <c r="C21" s="1"/>
      <c r="D21" s="1"/>
      <c r="E21" s="1" t="s">
        <v>9</v>
      </c>
      <c r="F21" s="1"/>
      <c r="G21" s="1"/>
      <c r="H21" s="1"/>
      <c r="J21" s="1"/>
      <c r="K21" s="1"/>
    </row>
    <row r="22" spans="1:23" x14ac:dyDescent="0.45">
      <c r="A22" s="1"/>
      <c r="B22" s="1" t="s">
        <v>15</v>
      </c>
      <c r="C22" s="1" t="s">
        <v>16</v>
      </c>
      <c r="D22" s="1" t="s">
        <v>18</v>
      </c>
      <c r="E22" s="1" t="s">
        <v>19</v>
      </c>
      <c r="F22" s="1" t="s">
        <v>24</v>
      </c>
      <c r="G22" s="1" t="s">
        <v>21</v>
      </c>
      <c r="H22" s="1" t="s">
        <v>27</v>
      </c>
      <c r="I22" s="1" t="s">
        <v>22</v>
      </c>
      <c r="J22" s="1" t="s">
        <v>20</v>
      </c>
      <c r="K22" s="1" t="s">
        <v>23</v>
      </c>
      <c r="N22" s="1" t="s">
        <v>73</v>
      </c>
      <c r="O22" s="1" t="s">
        <v>74</v>
      </c>
      <c r="P22" s="1" t="s">
        <v>75</v>
      </c>
      <c r="Q22" s="1" t="s">
        <v>76</v>
      </c>
      <c r="S22" s="1" t="s">
        <v>10</v>
      </c>
      <c r="T22" s="1" t="s">
        <v>11</v>
      </c>
      <c r="V22" s="1"/>
      <c r="W22" s="1"/>
    </row>
    <row r="23" spans="1:23" x14ac:dyDescent="0.45">
      <c r="A23" t="s">
        <v>52</v>
      </c>
      <c r="B23">
        <v>4677</v>
      </c>
      <c r="C23">
        <v>12173</v>
      </c>
      <c r="D23">
        <v>0</v>
      </c>
      <c r="E23">
        <v>1.389</v>
      </c>
      <c r="G23">
        <f>1000/(J23-E23)</f>
        <v>53.731664069636231</v>
      </c>
      <c r="H23">
        <f>G23*K23</f>
        <v>53.731664069636231</v>
      </c>
      <c r="I23">
        <f>(G23*10^6)/T23</f>
        <v>299.81176036802236</v>
      </c>
      <c r="J23">
        <v>20</v>
      </c>
      <c r="K23">
        <v>1</v>
      </c>
      <c r="N23">
        <f>(B23/$N$31)*100</f>
        <v>3.4747399702823181</v>
      </c>
      <c r="O23">
        <f>(C23/$O$31)*100</f>
        <v>4.5219167904903417</v>
      </c>
      <c r="P23">
        <f>(D23/$P$31)*100</f>
        <v>0</v>
      </c>
      <c r="Q23">
        <f>(H23/B23)*1000</f>
        <v>11.488489217369303</v>
      </c>
      <c r="S23">
        <v>1479</v>
      </c>
      <c r="T23">
        <v>179218</v>
      </c>
    </row>
    <row r="24" spans="1:23" x14ac:dyDescent="0.45">
      <c r="A24" t="s">
        <v>55</v>
      </c>
      <c r="B24">
        <v>32232</v>
      </c>
      <c r="C24">
        <v>14556</v>
      </c>
      <c r="D24">
        <v>66</v>
      </c>
      <c r="E24">
        <v>0.40400000000000003</v>
      </c>
      <c r="G24">
        <f t="shared" ref="G24:G28" si="3">1000/(J24-E24)</f>
        <v>51.030822616860583</v>
      </c>
      <c r="H24">
        <f t="shared" ref="H24:H28" si="4">G24*K24</f>
        <v>51.030822616860583</v>
      </c>
      <c r="I24">
        <f t="shared" si="2"/>
        <v>284.73208173492714</v>
      </c>
      <c r="J24">
        <v>20</v>
      </c>
      <c r="K24">
        <v>1</v>
      </c>
      <c r="N24">
        <f>(B24/$N$31)*100</f>
        <v>23.946508172362556</v>
      </c>
      <c r="O24">
        <f>(C24/$O$31)*100</f>
        <v>5.407132243684992</v>
      </c>
      <c r="P24">
        <f>(D24/$P$31)*100</f>
        <v>8.9189189189189193</v>
      </c>
      <c r="Q24">
        <f t="shared" ref="Q24:Q28" si="5">(H24/B24)*1000</f>
        <v>1.5832347548045602</v>
      </c>
      <c r="S24">
        <v>1485</v>
      </c>
      <c r="T24">
        <v>179224</v>
      </c>
    </row>
    <row r="25" spans="1:23" x14ac:dyDescent="0.45">
      <c r="A25" t="s">
        <v>58</v>
      </c>
      <c r="B25">
        <v>4544</v>
      </c>
      <c r="C25">
        <v>12173</v>
      </c>
      <c r="D25">
        <v>0</v>
      </c>
      <c r="E25">
        <v>5.508</v>
      </c>
      <c r="G25">
        <f t="shared" si="3"/>
        <v>69.003588186585702</v>
      </c>
      <c r="H25">
        <f t="shared" si="4"/>
        <v>69.003588186585702</v>
      </c>
      <c r="I25">
        <f t="shared" si="2"/>
        <v>385.02599173400949</v>
      </c>
      <c r="J25">
        <v>20</v>
      </c>
      <c r="K25">
        <v>1</v>
      </c>
      <c r="N25">
        <f>(B25/$N$31)*100</f>
        <v>3.3759286775631505</v>
      </c>
      <c r="O25">
        <f>(C25/$O$31)*100</f>
        <v>4.5219167904903417</v>
      </c>
      <c r="P25">
        <f>(D25/$P$31)*100</f>
        <v>0</v>
      </c>
      <c r="Q25">
        <f t="shared" si="5"/>
        <v>15.185648808667629</v>
      </c>
      <c r="S25">
        <v>1479</v>
      </c>
      <c r="T25">
        <v>179218</v>
      </c>
    </row>
    <row r="26" spans="1:23" x14ac:dyDescent="0.45">
      <c r="A26" t="s">
        <v>61</v>
      </c>
      <c r="B26">
        <v>21200</v>
      </c>
      <c r="C26">
        <v>13738</v>
      </c>
      <c r="D26">
        <v>50</v>
      </c>
      <c r="E26">
        <v>3.9740000000000002</v>
      </c>
      <c r="G26">
        <f t="shared" si="3"/>
        <v>62.398602271309123</v>
      </c>
      <c r="H26">
        <f t="shared" si="4"/>
        <v>62.398602271309123</v>
      </c>
      <c r="I26">
        <f t="shared" si="2"/>
        <v>348.16179994369651</v>
      </c>
      <c r="J26">
        <v>20</v>
      </c>
      <c r="K26">
        <v>1</v>
      </c>
      <c r="N26">
        <f>(B26/$N$31)*100</f>
        <v>15.750371471025259</v>
      </c>
      <c r="O26">
        <f>(C26/$O$31)*100</f>
        <v>5.1032689450222888</v>
      </c>
      <c r="P26">
        <f>(D26/$P$31)*100</f>
        <v>6.756756756756757</v>
      </c>
      <c r="Q26">
        <f t="shared" si="5"/>
        <v>2.9433302958164682</v>
      </c>
      <c r="S26">
        <v>1484</v>
      </c>
      <c r="T26">
        <v>179223</v>
      </c>
    </row>
    <row r="27" spans="1:23" x14ac:dyDescent="0.45">
      <c r="A27" t="s">
        <v>64</v>
      </c>
      <c r="B27">
        <v>9028</v>
      </c>
      <c r="C27">
        <v>24482</v>
      </c>
      <c r="D27">
        <v>0</v>
      </c>
      <c r="E27">
        <v>2.5609999999999999</v>
      </c>
      <c r="G27">
        <f t="shared" si="3"/>
        <v>57.342737542290266</v>
      </c>
      <c r="H27">
        <f t="shared" si="4"/>
        <v>57.342737542290266</v>
      </c>
      <c r="I27">
        <f t="shared" si="2"/>
        <v>313.93842820542585</v>
      </c>
      <c r="J27">
        <v>20</v>
      </c>
      <c r="K27">
        <v>1</v>
      </c>
      <c r="N27">
        <f>(B27/$N$31)*100</f>
        <v>6.7072808320950976</v>
      </c>
      <c r="O27">
        <f>(C27/$O$31)*100</f>
        <v>9.0943536404160472</v>
      </c>
      <c r="P27">
        <f>(D27/$P$31)*100</f>
        <v>0</v>
      </c>
      <c r="Q27">
        <f t="shared" si="5"/>
        <v>6.351654579340968</v>
      </c>
      <c r="S27">
        <v>2989</v>
      </c>
      <c r="T27">
        <v>182656</v>
      </c>
    </row>
    <row r="28" spans="1:23" x14ac:dyDescent="0.45">
      <c r="A28" t="s">
        <v>67</v>
      </c>
      <c r="B28" s="10">
        <v>59267</v>
      </c>
      <c r="C28" s="10">
        <v>64667</v>
      </c>
      <c r="D28" s="10">
        <v>118</v>
      </c>
      <c r="E28" s="10">
        <v>-1.27</v>
      </c>
      <c r="G28">
        <f t="shared" si="3"/>
        <v>47.014574518100609</v>
      </c>
      <c r="H28">
        <f t="shared" si="4"/>
        <v>47.014574518100609</v>
      </c>
      <c r="I28">
        <f t="shared" si="2"/>
        <v>257.37717891530326</v>
      </c>
      <c r="J28">
        <v>20</v>
      </c>
      <c r="K28">
        <v>1</v>
      </c>
      <c r="N28">
        <f>(B28/$N$31)*100</f>
        <v>44.031946508172368</v>
      </c>
      <c r="O28">
        <f>(C28/$O$31)*100</f>
        <v>24.021916790490341</v>
      </c>
      <c r="P28">
        <f>(D28/$P$31)*100</f>
        <v>15.945945945945947</v>
      </c>
      <c r="Q28">
        <f t="shared" si="5"/>
        <v>0.79326732444869175</v>
      </c>
      <c r="S28">
        <v>3001</v>
      </c>
      <c r="T28">
        <v>182668</v>
      </c>
    </row>
    <row r="31" spans="1:23" x14ac:dyDescent="0.45">
      <c r="N31">
        <v>134600</v>
      </c>
      <c r="O31">
        <v>269200</v>
      </c>
      <c r="P31">
        <v>740</v>
      </c>
      <c r="R31" t="s">
        <v>77</v>
      </c>
      <c r="U31" s="10"/>
      <c r="V31" s="10"/>
      <c r="W31" s="10"/>
    </row>
    <row r="34" spans="3:6" x14ac:dyDescent="0.45">
      <c r="C34" s="10"/>
      <c r="D34" s="10"/>
      <c r="E34" s="10"/>
      <c r="F34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3x3</vt:lpstr>
      <vt:lpstr>5x5</vt:lpstr>
      <vt:lpstr>αλλ</vt:lpstr>
      <vt:lpstr>new-run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Nefeli Zikou</dc:creator>
  <cp:lastModifiedBy>Nefeli Zikou</cp:lastModifiedBy>
  <dcterms:created xsi:type="dcterms:W3CDTF">2026-09-04T15:39:31Z</dcterms:created>
  <dcterms:modified xsi:type="dcterms:W3CDTF">2026-09-28T13:46:18Z</dcterms:modified>
</cp:coreProperties>
</file>